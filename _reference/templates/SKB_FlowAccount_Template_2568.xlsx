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Bank Statement SKB" sheetId="1" state="visible" r:id="rId1"/>
    <sheet xmlns:r="http://schemas.openxmlformats.org/officeDocument/2006/relationships" name="📋 บิล รายเดือน (EXP)" sheetId="2" state="visible" r:id="rId2"/>
    <sheet xmlns:r="http://schemas.openxmlformats.org/officeDocument/2006/relationships" name="วิธีใช้งา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95959"/>
      <sz val="9"/>
    </font>
    <font>
      <name val="Arial"/>
      <b val="1"/>
      <color rgb="00FFFFFF"/>
      <sz val="9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FFFF00"/>
      <sz val="10"/>
    </font>
    <font>
      <name val="Arial"/>
      <color rgb="00000000"/>
      <sz val="10"/>
    </font>
    <font>
      <name val="Arial"/>
      <color rgb="00595959"/>
      <sz val="10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EEBF7"/>
        <bgColor rgb="00DEEBF7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E0E0"/>
        <bgColor rgb="00FFE0E0"/>
      </patternFill>
    </fill>
    <fill>
      <patternFill patternType="solid">
        <fgColor rgb="00E0FFE0"/>
        <bgColor rgb="00E0FFE0"/>
      </patternFill>
    </fill>
    <fill>
      <patternFill patternType="solid">
        <fgColor rgb="002E5090"/>
        <bgColor rgb="002E509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0F4FF"/>
        <bgColor rgb="00F0F4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2" borderId="0" pivotButton="0" quotePrefix="0" xfId="0"/>
    <xf numFmtId="164" fontId="6" fillId="7" borderId="0" pivotButton="0" quotePrefix="0" xfId="0"/>
    <xf numFmtId="164" fontId="6" fillId="8" borderId="0" pivotButton="0" quotePrefix="0" xfId="0"/>
    <xf numFmtId="0" fontId="1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2" fillId="5" borderId="1" pivotButton="0" quotePrefix="0" xfId="0"/>
    <xf numFmtId="0" fontId="0" fillId="5" borderId="1" pivotButton="0" quotePrefix="0" xfId="0"/>
    <xf numFmtId="164" fontId="0" fillId="5" borderId="1" pivotButton="0" quotePrefix="0" xfId="0"/>
    <xf numFmtId="164" fontId="0" fillId="3" borderId="1" pivotButton="0" quotePrefix="0" xfId="0"/>
    <xf numFmtId="164" fontId="6" fillId="11" borderId="1" pivotButton="0" quotePrefix="0" xfId="0"/>
    <xf numFmtId="0" fontId="2" fillId="12" borderId="1" pivotButton="0" quotePrefix="0" xfId="0"/>
    <xf numFmtId="0" fontId="0" fillId="12" borderId="1" pivotButton="0" quotePrefix="0" xfId="0"/>
    <xf numFmtId="164" fontId="0" fillId="12" borderId="1" pivotButton="0" quotePrefix="0" xfId="0"/>
    <xf numFmtId="0" fontId="8" fillId="2" borderId="0" applyAlignment="1" pivotButton="0" quotePrefix="0" xfId="0">
      <alignment horizontal="center" vertical="center"/>
    </xf>
    <xf numFmtId="164" fontId="9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38" customWidth="1" min="7" max="7"/>
    <col width="22" customWidth="1" min="8" max="8"/>
    <col width="14" customWidth="1" min="9" max="9"/>
    <col width="20" customWidth="1" min="10" max="10"/>
    <col width="16" customWidth="1" min="11" max="11"/>
    <col width="20" customWidth="1" min="12" max="12"/>
  </cols>
  <sheetData>
    <row r="1" ht="26" customHeight="1">
      <c r="A1" s="1" t="inlineStr">
        <is>
          <t>SKB — บจก. สกาย บลู คอนสตรัคชั่น  |  Account 127-3-33153-7 KBank สาขายะลา</t>
        </is>
      </c>
    </row>
    <row r="2">
      <c r="A2" s="2" t="inlineStr">
        <is>
          <t>รายการเดินบัญชีรวม: มี.ค. 2568 – มี.ค. 2569  (ดึงจาก K-BIZ Statement)</t>
        </is>
      </c>
    </row>
    <row r="3" ht="32" customHeight="1">
      <c r="A3" s="3" t="inlineStr">
        <is>
          <t>วันที่</t>
        </is>
      </c>
      <c r="B3" s="3" t="inlineStr">
        <is>
          <t>รายการ</t>
        </is>
      </c>
      <c r="C3" s="3" t="inlineStr">
        <is>
          <t>เดบิต
(จ่ายออก)</t>
        </is>
      </c>
      <c r="D3" s="3" t="inlineStr">
        <is>
          <t>เครดิต
(รับเข้า)</t>
        </is>
      </c>
      <c r="E3" s="3" t="inlineStr">
        <is>
          <t>ยอดคงเหลือ</t>
        </is>
      </c>
      <c r="F3" s="3" t="inlineStr">
        <is>
          <t>ช่องทาง</t>
        </is>
      </c>
      <c r="G3" s="3" t="inlineStr">
        <is>
          <t>รายละเอียด</t>
        </is>
      </c>
      <c r="H3" s="3" t="inlineStr">
        <is>
          <t>รหัสบัญชี
FlowAccount</t>
        </is>
      </c>
      <c r="I3" s="3" t="inlineStr">
        <is>
          <t>ประเภท</t>
        </is>
      </c>
      <c r="J3" s="3" t="inlineStr">
        <is>
          <t>หมายเหตุ</t>
        </is>
      </c>
      <c r="K3" s="3" t="inlineStr">
        <is>
          <t>เลขที่
เอกสาร</t>
        </is>
      </c>
      <c r="L3" s="3" t="inlineStr">
        <is>
          <t>สถานะ FlowAccount</t>
        </is>
      </c>
    </row>
    <row r="4" ht="20" customHeight="1">
      <c r="A4" s="4" t="inlineStr">
        <is>
          <t>19-03-25</t>
        </is>
      </c>
      <c r="B4" s="4" t="inlineStr">
        <is>
          <t>รับโอนเงินอัตโนมัติ</t>
        </is>
      </c>
      <c r="C4" s="5" t="inlineStr"/>
      <c r="D4" s="6" t="n">
        <v>1939507.18</v>
      </c>
      <c r="E4" s="6" t="n">
        <v>2030366.82</v>
      </c>
      <c r="F4" s="7" t="inlineStr">
        <is>
          <t>โอนเข้า/หักบัญชีอัตโนมัติ</t>
        </is>
      </c>
      <c r="G4" s="4" t="inlineStr">
        <is>
          <t>จาก SMART BOT X2563 กรมบัญชีกล++</t>
        </is>
      </c>
      <c r="H4" s="4" t="inlineStr">
        <is>
          <t>4100-รายได้รับเหมา</t>
        </is>
      </c>
      <c r="I4" s="4" t="inlineStr">
        <is>
          <t>🟢 รายรับ</t>
        </is>
      </c>
      <c r="J4" s="4" t="inlineStr"/>
      <c r="K4" s="4" t="inlineStr"/>
      <c r="L4" s="4" t="inlineStr">
        <is>
          <t>⏳ ยังไม่บันทึก</t>
        </is>
      </c>
    </row>
    <row r="5" ht="20" customHeight="1">
      <c r="A5" s="8" t="inlineStr">
        <is>
          <t>19-03-25</t>
        </is>
      </c>
      <c r="B5" s="8" t="inlineStr">
        <is>
          <t>โอนเงิน</t>
        </is>
      </c>
      <c r="C5" s="9" t="n">
        <v>1000000</v>
      </c>
      <c r="D5" s="10" t="inlineStr"/>
      <c r="E5" s="10" t="n">
        <v>1030366.82</v>
      </c>
      <c r="F5" s="11" t="inlineStr">
        <is>
          <t>K PLUS SME</t>
        </is>
      </c>
      <c r="G5" s="8" t="inlineStr">
        <is>
          <t>โอนไป KTB X3397 น.ส.ซารีย๊ะ มาแ++</t>
        </is>
      </c>
      <c r="H5" s="8" t="inlineStr">
        <is>
          <t>5200-ค่าแรงงาน/จ่ายออก</t>
        </is>
      </c>
      <c r="I5" s="8" t="inlineStr">
        <is>
          <t>🔴 รายจ่าย</t>
        </is>
      </c>
      <c r="J5" s="8" t="inlineStr"/>
      <c r="K5" s="8" t="inlineStr"/>
      <c r="L5" s="8" t="inlineStr">
        <is>
          <t>⏳ ยังไม่บันทึก</t>
        </is>
      </c>
    </row>
    <row r="6" ht="20" customHeight="1">
      <c r="A6" s="4" t="inlineStr">
        <is>
          <t>19-03-25</t>
        </is>
      </c>
      <c r="B6" s="4" t="inlineStr">
        <is>
          <t>โอนเงิน</t>
        </is>
      </c>
      <c r="C6" s="5" t="n">
        <v>500000</v>
      </c>
      <c r="D6" s="6" t="inlineStr"/>
      <c r="E6" s="6" t="n">
        <v>530366.8199999999</v>
      </c>
      <c r="F6" s="7" t="inlineStr">
        <is>
          <t>K PLUS SME</t>
        </is>
      </c>
      <c r="G6" s="4" t="inlineStr">
        <is>
          <t>โอนไป KTB X3397 น.ส.ซารีย๊ะ มาแ++</t>
        </is>
      </c>
      <c r="H6" s="4" t="inlineStr">
        <is>
          <t>5200-ค่าแรงงาน/จ่ายออก</t>
        </is>
      </c>
      <c r="I6" s="4" t="inlineStr">
        <is>
          <t>🔴 รายจ่าย</t>
        </is>
      </c>
      <c r="J6" s="4" t="inlineStr"/>
      <c r="K6" s="4" t="inlineStr"/>
      <c r="L6" s="4" t="inlineStr">
        <is>
          <t>⏳ ยังไม่บันทึก</t>
        </is>
      </c>
    </row>
    <row r="7" ht="20" customHeight="1">
      <c r="A7" s="8" t="inlineStr">
        <is>
          <t>19-03-25</t>
        </is>
      </c>
      <c r="B7" s="8" t="inlineStr">
        <is>
          <t>ฝากด้วยเช็ค</t>
        </is>
      </c>
      <c r="C7" s="9" t="inlineStr"/>
      <c r="D7" s="10" t="n">
        <v>19416.82</v>
      </c>
      <c r="E7" s="10" t="n">
        <v>549783.64</v>
      </c>
      <c r="F7" s="11" t="inlineStr">
        <is>
          <t>โอนเข้า/หักบัญชีอัตโนมัติ</t>
        </is>
      </c>
      <c r="G7" s="8" t="inlineStr">
        <is>
          <t>KTB 0920 เช็คเลขที่ 10154584</t>
        </is>
      </c>
      <c r="H7" s="8" t="inlineStr">
        <is>
          <t>1200-วัสดุก่อสร้างคงเหลือ</t>
        </is>
      </c>
      <c r="I7" s="8" t="inlineStr">
        <is>
          <t>🟡 รายรับ-เช็ค</t>
        </is>
      </c>
      <c r="J7" s="8" t="inlineStr"/>
      <c r="K7" s="8" t="inlineStr"/>
      <c r="L7" s="8" t="inlineStr">
        <is>
          <t>⏳ ยังไม่บันทึก</t>
        </is>
      </c>
    </row>
    <row r="8" ht="20" customHeight="1">
      <c r="A8" s="4" t="inlineStr">
        <is>
          <t>19-03-25</t>
        </is>
      </c>
      <c r="B8" s="4" t="inlineStr">
        <is>
          <t>ฝากด้วยเช็ค</t>
        </is>
      </c>
      <c r="C8" s="5" t="inlineStr"/>
      <c r="D8" s="6" t="n">
        <v>25757.01</v>
      </c>
      <c r="E8" s="6" t="n">
        <v>575540.65</v>
      </c>
      <c r="F8" s="7" t="inlineStr">
        <is>
          <t>โอนเข้า/หักบัญชีอัตโนมัติ</t>
        </is>
      </c>
      <c r="G8" s="4" t="inlineStr">
        <is>
          <t>KTB 0920 เช็คเลขที่ 10153919</t>
        </is>
      </c>
      <c r="H8" s="4" t="inlineStr">
        <is>
          <t>1200-วัสดุก่อสร้างคงเหลือ</t>
        </is>
      </c>
      <c r="I8" s="4" t="inlineStr">
        <is>
          <t>🟡 รายรับ-เช็ค</t>
        </is>
      </c>
      <c r="J8" s="4" t="inlineStr"/>
      <c r="K8" s="4" t="inlineStr"/>
      <c r="L8" s="4" t="inlineStr">
        <is>
          <t>⏳ ยังไม่บันทึก</t>
        </is>
      </c>
    </row>
    <row r="9" ht="20" customHeight="1">
      <c r="A9" s="8" t="inlineStr">
        <is>
          <t>22-03-25</t>
        </is>
      </c>
      <c r="B9" s="8" t="inlineStr">
        <is>
          <t>โอนเงิน</t>
        </is>
      </c>
      <c r="C9" s="9" t="n">
        <v>19416</v>
      </c>
      <c r="D9" s="10" t="inlineStr"/>
      <c r="E9" s="10" t="n">
        <v>556124.65</v>
      </c>
      <c r="F9" s="11" t="inlineStr">
        <is>
          <t>K PLUS SME</t>
        </is>
      </c>
      <c r="G9" s="8" t="inlineStr">
        <is>
          <t>โอนไป GSB X4585 นางสาว อานูซ๊ะ มะ++</t>
        </is>
      </c>
      <c r="H9" s="8" t="inlineStr">
        <is>
          <t>5200-ค่าแรงงาน/จ่ายออก</t>
        </is>
      </c>
      <c r="I9" s="8" t="inlineStr">
        <is>
          <t>🔴 รายจ่าย</t>
        </is>
      </c>
      <c r="J9" s="8" t="inlineStr"/>
      <c r="K9" s="8" t="inlineStr"/>
      <c r="L9" s="8" t="inlineStr">
        <is>
          <t>⏳ ยังไม่บันทึก</t>
        </is>
      </c>
    </row>
    <row r="10" ht="20" customHeight="1">
      <c r="A10" s="4" t="inlineStr">
        <is>
          <t>24-03-25</t>
        </is>
      </c>
      <c r="B10" s="4" t="inlineStr">
        <is>
          <t>รับโอนเงินอัตโนมัติ</t>
        </is>
      </c>
      <c r="C10" s="5" t="inlineStr"/>
      <c r="D10" s="6" t="n">
        <v>390160.78</v>
      </c>
      <c r="E10" s="6" t="n">
        <v>946285.4300000001</v>
      </c>
      <c r="F10" s="7" t="inlineStr">
        <is>
          <t>โอนเข้า/หักบัญชีอัตโนมัติ</t>
        </is>
      </c>
      <c r="G10" s="4" t="inlineStr">
        <is>
          <t>จาก SMART BOT X2563 กรมบัญชีกล++</t>
        </is>
      </c>
      <c r="H10" s="4" t="inlineStr">
        <is>
          <t>4100-รายได้รับเหมา</t>
        </is>
      </c>
      <c r="I10" s="4" t="inlineStr">
        <is>
          <t>🟢 รายรับ</t>
        </is>
      </c>
      <c r="J10" s="4" t="inlineStr"/>
      <c r="K10" s="4" t="inlineStr"/>
      <c r="L10" s="4" t="inlineStr">
        <is>
          <t>⏳ ยังไม่บันทึก</t>
        </is>
      </c>
    </row>
    <row r="11" ht="20" customHeight="1">
      <c r="A11" s="8" t="inlineStr">
        <is>
          <t>26-03-25</t>
        </is>
      </c>
      <c r="B11" s="8" t="inlineStr">
        <is>
          <t>โอนเงิน</t>
        </is>
      </c>
      <c r="C11" s="9" t="n">
        <v>574000</v>
      </c>
      <c r="D11" s="10" t="inlineStr"/>
      <c r="E11" s="10" t="n">
        <v>372285.43</v>
      </c>
      <c r="F11" s="11" t="inlineStr">
        <is>
          <t>K PLUS SME</t>
        </is>
      </c>
      <c r="G11" s="8" t="inlineStr">
        <is>
          <t>โอนไป KTB X3397 น.ส.ซารีย๊ะ มาแ++</t>
        </is>
      </c>
      <c r="H11" s="8" t="inlineStr">
        <is>
          <t>5200-ค่าแรงงาน/จ่ายออก</t>
        </is>
      </c>
      <c r="I11" s="8" t="inlineStr">
        <is>
          <t>🔴 รายจ่าย</t>
        </is>
      </c>
      <c r="J11" s="8" t="inlineStr"/>
      <c r="K11" s="8" t="inlineStr"/>
      <c r="L11" s="8" t="inlineStr">
        <is>
          <t>⏳ ยังไม่บันทึก</t>
        </is>
      </c>
    </row>
    <row r="12" ht="20" customHeight="1">
      <c r="A12" s="4" t="inlineStr">
        <is>
          <t>28-03-25</t>
        </is>
      </c>
      <c r="B12" s="4" t="inlineStr">
        <is>
          <t>โอนเงิน</t>
        </is>
      </c>
      <c r="C12" s="5" t="n">
        <v>120000</v>
      </c>
      <c r="D12" s="6" t="inlineStr"/>
      <c r="E12" s="6" t="n">
        <v>252285.43</v>
      </c>
      <c r="F12" s="7" t="inlineStr">
        <is>
          <t>K PLUS SME</t>
        </is>
      </c>
      <c r="G12" s="4" t="inlineStr">
        <is>
          <t>โอนไป BBL X7741 บจ. คูโบต้า เอ็ม เ++</t>
        </is>
      </c>
      <c r="H12" s="4" t="inlineStr">
        <is>
          <t>5200-ค่าแรงงาน/จ่ายออก</t>
        </is>
      </c>
      <c r="I12" s="4" t="inlineStr">
        <is>
          <t>🔴 รายจ่าย</t>
        </is>
      </c>
      <c r="J12" s="4" t="inlineStr"/>
      <c r="K12" s="4" t="inlineStr"/>
      <c r="L12" s="4" t="inlineStr">
        <is>
          <t>⏳ ยังไม่บันทึก</t>
        </is>
      </c>
    </row>
    <row r="13" ht="20" customHeight="1">
      <c r="A13" s="8" t="inlineStr">
        <is>
          <t>28-03-25</t>
        </is>
      </c>
      <c r="B13" s="8" t="inlineStr">
        <is>
          <t>ฝากด้วยเช็ค</t>
        </is>
      </c>
      <c r="C13" s="9" t="inlineStr"/>
      <c r="D13" s="10" t="n">
        <v>676457.4399999999</v>
      </c>
      <c r="E13" s="10" t="n">
        <v>928742.87</v>
      </c>
      <c r="F13" s="11" t="inlineStr">
        <is>
          <t>โอนเข้า/หักบัญชีอัตโนมัติ</t>
        </is>
      </c>
      <c r="G13" s="8" t="inlineStr">
        <is>
          <t>BAAC 0333 เช็คเลขที่ 59107357</t>
        </is>
      </c>
      <c r="H13" s="8" t="inlineStr">
        <is>
          <t>1200-วัสดุก่อสร้างคงเหลือ</t>
        </is>
      </c>
      <c r="I13" s="8" t="inlineStr">
        <is>
          <t>🟡 รายรับ-เช็ค</t>
        </is>
      </c>
      <c r="J13" s="8" t="inlineStr"/>
      <c r="K13" s="8" t="inlineStr"/>
      <c r="L13" s="8" t="inlineStr">
        <is>
          <t>⏳ ยังไม่บันทึก</t>
        </is>
      </c>
    </row>
    <row r="14" ht="20" customHeight="1">
      <c r="A14" s="4" t="inlineStr">
        <is>
          <t>29-03-25</t>
        </is>
      </c>
      <c r="B14" s="4" t="inlineStr">
        <is>
          <t>โอนเงิน</t>
        </is>
      </c>
      <c r="C14" s="5" t="n">
        <v>115000</v>
      </c>
      <c r="D14" s="6" t="inlineStr"/>
      <c r="E14" s="6" t="n">
        <v>813742.87</v>
      </c>
      <c r="F14" s="7" t="inlineStr">
        <is>
          <t>K PLUS SME</t>
        </is>
      </c>
      <c r="G14" s="4" t="inlineStr">
        <is>
          <t>โอนไป KTB X3397 น.ส.ซารีย๊ะ มาแ++</t>
        </is>
      </c>
      <c r="H14" s="4" t="inlineStr">
        <is>
          <t>5200-ค่าแรงงาน/จ่ายออก</t>
        </is>
      </c>
      <c r="I14" s="4" t="inlineStr">
        <is>
          <t>🔴 รายจ่าย</t>
        </is>
      </c>
      <c r="J14" s="4" t="inlineStr"/>
      <c r="K14" s="4" t="inlineStr"/>
      <c r="L14" s="4" t="inlineStr">
        <is>
          <t>⏳ ยังไม่บันทึก</t>
        </is>
      </c>
    </row>
    <row r="15" ht="20" customHeight="1">
      <c r="A15" s="8" t="inlineStr">
        <is>
          <t>31-03-25</t>
        </is>
      </c>
      <c r="B15" s="8" t="inlineStr">
        <is>
          <t>ค่าธรรมเนียม</t>
        </is>
      </c>
      <c r="C15" s="9" t="n">
        <v>676.46</v>
      </c>
      <c r="D15" s="10" t="inlineStr"/>
      <c r="E15" s="10" t="n">
        <v>813066.41</v>
      </c>
      <c r="F15" s="11" t="inlineStr">
        <is>
          <t>โอนเข้า/หักบัญชีอัตโนมัติ</t>
        </is>
      </c>
      <c r="G15" s="8" t="inlineStr">
        <is>
          <t>Cheque Collection Fee BAAC 0333 เช็คเลขที่ 59107357</t>
        </is>
      </c>
      <c r="H15" s="8" t="inlineStr">
        <is>
          <t>1200-วัสดุก่อสร้างคงเหลือ</t>
        </is>
      </c>
      <c r="I15" s="8" t="inlineStr">
        <is>
          <t>🟡 รายรับ-เช็ค</t>
        </is>
      </c>
      <c r="J15" s="8" t="inlineStr"/>
      <c r="K15" s="8" t="inlineStr"/>
      <c r="L15" s="8" t="inlineStr">
        <is>
          <t>⏳ ยังไม่บันทึก</t>
        </is>
      </c>
    </row>
    <row r="16" ht="20" customHeight="1">
      <c r="A16" s="4" t="inlineStr">
        <is>
          <t>03-04-25</t>
        </is>
      </c>
      <c r="B16" s="4" t="inlineStr">
        <is>
          <t>โอนเงิน</t>
        </is>
      </c>
      <c r="C16" s="5" t="n">
        <v>1</v>
      </c>
      <c r="D16" s="6" t="inlineStr"/>
      <c r="E16" s="6" t="n">
        <v>813065.41</v>
      </c>
      <c r="F16" s="7" t="inlineStr">
        <is>
          <t>K PLUS SME</t>
        </is>
      </c>
      <c r="G16" s="4" t="inlineStr">
        <is>
          <t>โอนไป KTB X3397 น.ส.ซารีย๊ะ มาแ++</t>
        </is>
      </c>
      <c r="H16" s="4" t="inlineStr">
        <is>
          <t>5200-ค่าแรงงาน/จ่ายออก</t>
        </is>
      </c>
      <c r="I16" s="4" t="inlineStr">
        <is>
          <t>🔴 รายจ่าย</t>
        </is>
      </c>
      <c r="J16" s="4" t="inlineStr"/>
      <c r="K16" s="4" t="inlineStr"/>
      <c r="L16" s="4" t="inlineStr">
        <is>
          <t>⏳ ยังไม่บันทึก</t>
        </is>
      </c>
    </row>
    <row r="17" ht="20" customHeight="1">
      <c r="A17" s="8" t="inlineStr">
        <is>
          <t>03-04-25</t>
        </is>
      </c>
      <c r="B17" s="8" t="inlineStr">
        <is>
          <t>โอนเงิน</t>
        </is>
      </c>
      <c r="C17" s="9" t="n">
        <v>150000</v>
      </c>
      <c r="D17" s="10" t="inlineStr"/>
      <c r="E17" s="10" t="n">
        <v>663065.41</v>
      </c>
      <c r="F17" s="11" t="inlineStr">
        <is>
          <t>K PLUS SME</t>
        </is>
      </c>
      <c r="G17" s="8" t="inlineStr">
        <is>
          <t>โอนไป KTB X3397 น.ส.ซารีย๊ะ มาแ++</t>
        </is>
      </c>
      <c r="H17" s="8" t="inlineStr">
        <is>
          <t>5200-ค่าแรงงาน/จ่ายออก</t>
        </is>
      </c>
      <c r="I17" s="8" t="inlineStr">
        <is>
          <t>🔴 รายจ่าย</t>
        </is>
      </c>
      <c r="J17" s="8" t="inlineStr"/>
      <c r="K17" s="8" t="inlineStr"/>
      <c r="L17" s="8" t="inlineStr">
        <is>
          <t>⏳ ยังไม่บันทึก</t>
        </is>
      </c>
    </row>
    <row r="18" ht="20" customHeight="1">
      <c r="A18" s="4" t="inlineStr">
        <is>
          <t>05-04-25</t>
        </is>
      </c>
      <c r="B18" s="4" t="inlineStr">
        <is>
          <t>รับโอนเงิน</t>
        </is>
      </c>
      <c r="C18" s="5" t="inlineStr"/>
      <c r="D18" s="6" t="n">
        <v>475000</v>
      </c>
      <c r="E18" s="6" t="n">
        <v>1138065.41</v>
      </c>
      <c r="F18" s="7" t="inlineStr">
        <is>
          <t>K PLUS SME</t>
        </is>
      </c>
      <c r="G18" s="4" t="inlineStr">
        <is>
          <t>จาก X8361 บจก. อามาน ปิโตรเล++</t>
        </is>
      </c>
      <c r="H18" s="4" t="inlineStr">
        <is>
          <t>4100-รายได้รับเหมา</t>
        </is>
      </c>
      <c r="I18" s="4" t="inlineStr">
        <is>
          <t>🟢 รายรับ</t>
        </is>
      </c>
      <c r="J18" s="4" t="inlineStr"/>
      <c r="K18" s="4" t="inlineStr"/>
      <c r="L18" s="4" t="inlineStr">
        <is>
          <t>⏳ ยังไม่บันทึก</t>
        </is>
      </c>
    </row>
    <row r="19" ht="20" customHeight="1">
      <c r="A19" s="8" t="inlineStr">
        <is>
          <t>12-04-25</t>
        </is>
      </c>
      <c r="B19" s="8" t="inlineStr">
        <is>
          <t>โอนเงิน</t>
        </is>
      </c>
      <c r="C19" s="9" t="n">
        <v>500000</v>
      </c>
      <c r="D19" s="10" t="inlineStr"/>
      <c r="E19" s="10" t="n">
        <v>638065.41</v>
      </c>
      <c r="F19" s="11" t="inlineStr">
        <is>
          <t>K PLUS SME</t>
        </is>
      </c>
      <c r="G19" s="8" t="inlineStr">
        <is>
          <t>โอนไป KTB X3397 น.ส.ซารีย๊ะ มาแ++</t>
        </is>
      </c>
      <c r="H19" s="8" t="inlineStr">
        <is>
          <t>5200-ค่าแรงงาน/จ่ายออก</t>
        </is>
      </c>
      <c r="I19" s="8" t="inlineStr">
        <is>
          <t>🔴 รายจ่าย</t>
        </is>
      </c>
      <c r="J19" s="8" t="inlineStr"/>
      <c r="K19" s="8" t="inlineStr"/>
      <c r="L19" s="8" t="inlineStr">
        <is>
          <t>⏳ ยังไม่บันทึก</t>
        </is>
      </c>
    </row>
    <row r="20" ht="20" customHeight="1">
      <c r="A20" s="4" t="inlineStr">
        <is>
          <t>21-04-25</t>
        </is>
      </c>
      <c r="B20" s="4" t="inlineStr">
        <is>
          <t>โอนเงิน</t>
        </is>
      </c>
      <c r="C20" s="5" t="n">
        <v>620000</v>
      </c>
      <c r="D20" s="6" t="inlineStr"/>
      <c r="E20" s="6" t="n">
        <v>18065.41</v>
      </c>
      <c r="F20" s="7" t="inlineStr">
        <is>
          <t>K PLUS SME</t>
        </is>
      </c>
      <c r="G20" s="4" t="inlineStr">
        <is>
          <t>โอนไป KTB X3397 น.ส.ซารีย๊ะ มาแ++</t>
        </is>
      </c>
      <c r="H20" s="4" t="inlineStr">
        <is>
          <t>5200-ค่าแรงงาน/จ่ายออก</t>
        </is>
      </c>
      <c r="I20" s="4" t="inlineStr">
        <is>
          <t>🔴 รายจ่าย</t>
        </is>
      </c>
      <c r="J20" s="4" t="inlineStr"/>
      <c r="K20" s="4" t="inlineStr"/>
      <c r="L20" s="4" t="inlineStr">
        <is>
          <t>⏳ ยังไม่บันทึก</t>
        </is>
      </c>
    </row>
    <row r="21" ht="20" customHeight="1">
      <c r="A21" s="8" t="inlineStr">
        <is>
          <t>01-05-25</t>
        </is>
      </c>
      <c r="B21" s="8" t="inlineStr">
        <is>
          <t>รับโอนเงิน</t>
        </is>
      </c>
      <c r="C21" s="9" t="inlineStr"/>
      <c r="D21" s="10" t="n">
        <v>850000</v>
      </c>
      <c r="E21" s="10" t="n">
        <v>868065.41</v>
      </c>
      <c r="F21" s="11" t="inlineStr">
        <is>
          <t>Internet/Mobile KTB</t>
        </is>
      </c>
      <c r="G21" s="8" t="inlineStr">
        <is>
          <t>จาก KTB X8467 FATONA PETHOLEUM C++</t>
        </is>
      </c>
      <c r="H21" s="8" t="inlineStr">
        <is>
          <t>4100-รายได้รับเหมา</t>
        </is>
      </c>
      <c r="I21" s="8" t="inlineStr">
        <is>
          <t>🟢 รายรับ</t>
        </is>
      </c>
      <c r="J21" s="8" t="inlineStr"/>
      <c r="K21" s="8" t="inlineStr"/>
      <c r="L21" s="8" t="inlineStr">
        <is>
          <t>⏳ ยังไม่บันทึก</t>
        </is>
      </c>
    </row>
    <row r="22" ht="20" customHeight="1">
      <c r="A22" s="4" t="inlineStr">
        <is>
          <t>03-05-25</t>
        </is>
      </c>
      <c r="B22" s="4" t="inlineStr">
        <is>
          <t>โอนเงิน</t>
        </is>
      </c>
      <c r="C22" s="5" t="n">
        <v>300000</v>
      </c>
      <c r="D22" s="6" t="inlineStr"/>
      <c r="E22" s="6" t="n">
        <v>568065.41</v>
      </c>
      <c r="F22" s="7" t="inlineStr">
        <is>
          <t>K PLUS SME</t>
        </is>
      </c>
      <c r="G22" s="4" t="inlineStr">
        <is>
          <t>โอนไป KTB X3397 น.ส.ซารีย๊ะ มาแ++</t>
        </is>
      </c>
      <c r="H22" s="4" t="inlineStr">
        <is>
          <t>5200-ค่าแรงงาน/จ่ายออก</t>
        </is>
      </c>
      <c r="I22" s="4" t="inlineStr">
        <is>
          <t>🔴 รายจ่าย</t>
        </is>
      </c>
      <c r="J22" s="4" t="inlineStr"/>
      <c r="K22" s="4" t="inlineStr"/>
      <c r="L22" s="4" t="inlineStr">
        <is>
          <t>⏳ ยังไม่บันทึก</t>
        </is>
      </c>
    </row>
    <row r="23" ht="20" customHeight="1">
      <c r="A23" s="8" t="inlineStr">
        <is>
          <t>03-05-25</t>
        </is>
      </c>
      <c r="B23" s="8" t="inlineStr">
        <is>
          <t>โอนเงิน</t>
        </is>
      </c>
      <c r="C23" s="9" t="n">
        <v>500000</v>
      </c>
      <c r="D23" s="10" t="inlineStr"/>
      <c r="E23" s="10" t="n">
        <v>68065.41</v>
      </c>
      <c r="F23" s="11" t="inlineStr">
        <is>
          <t>K PLUS SME</t>
        </is>
      </c>
      <c r="G23" s="8" t="inlineStr">
        <is>
          <t>โอนไป SCB X6608 นางสาว ทอฝัน ธนารุ++</t>
        </is>
      </c>
      <c r="H23" s="8" t="inlineStr">
        <is>
          <t>5200-ค่าแรงงาน/จ่ายออก</t>
        </is>
      </c>
      <c r="I23" s="8" t="inlineStr">
        <is>
          <t>🔴 รายจ่าย</t>
        </is>
      </c>
      <c r="J23" s="8" t="inlineStr"/>
      <c r="K23" s="8" t="inlineStr"/>
      <c r="L23" s="8" t="inlineStr">
        <is>
          <t>⏳ ยังไม่บันทึก</t>
        </is>
      </c>
    </row>
    <row r="24" ht="20" customHeight="1">
      <c r="A24" s="4" t="inlineStr">
        <is>
          <t>08-05-25</t>
        </is>
      </c>
      <c r="B24" s="4" t="inlineStr">
        <is>
          <t>ฝากด้วยเช็ค</t>
        </is>
      </c>
      <c r="C24" s="5" t="inlineStr"/>
      <c r="D24" s="6" t="n">
        <v>25757.01</v>
      </c>
      <c r="E24" s="6" t="n">
        <v>93822.42</v>
      </c>
      <c r="F24" s="7" t="inlineStr">
        <is>
          <t>โอนเข้า/หักบัญชีอัตโนมัติ</t>
        </is>
      </c>
      <c r="G24" s="4" t="inlineStr">
        <is>
          <t>KTB 0920 เช็คเลขที่ 10161924</t>
        </is>
      </c>
      <c r="H24" s="4" t="inlineStr">
        <is>
          <t>1200-วัสดุก่อสร้างคงเหลือ</t>
        </is>
      </c>
      <c r="I24" s="4" t="inlineStr">
        <is>
          <t>🟡 รายรับ-เช็ค</t>
        </is>
      </c>
      <c r="J24" s="4" t="inlineStr"/>
      <c r="K24" s="4" t="inlineStr"/>
      <c r="L24" s="4" t="inlineStr">
        <is>
          <t>⏳ ยังไม่บันทึก</t>
        </is>
      </c>
    </row>
    <row r="25" ht="20" customHeight="1">
      <c r="A25" s="8" t="inlineStr">
        <is>
          <t>08-05-25</t>
        </is>
      </c>
      <c r="B25" s="8" t="inlineStr">
        <is>
          <t>ฝากด้วยเช็ค</t>
        </is>
      </c>
      <c r="C25" s="9" t="inlineStr"/>
      <c r="D25" s="10" t="n">
        <v>38833.64</v>
      </c>
      <c r="E25" s="10" t="n">
        <v>132656.06</v>
      </c>
      <c r="F25" s="11" t="inlineStr">
        <is>
          <t>โอนเข้า/หักบัญชีอัตโนมัติ</t>
        </is>
      </c>
      <c r="G25" s="8" t="inlineStr">
        <is>
          <t>KTB 0920 เช็คเลขที่ 10154627</t>
        </is>
      </c>
      <c r="H25" s="8" t="inlineStr">
        <is>
          <t>1200-วัสดุก่อสร้างคงเหลือ</t>
        </is>
      </c>
      <c r="I25" s="8" t="inlineStr">
        <is>
          <t>🟡 รายรับ-เช็ค</t>
        </is>
      </c>
      <c r="J25" s="8" t="inlineStr"/>
      <c r="K25" s="8" t="inlineStr"/>
      <c r="L25" s="8" t="inlineStr">
        <is>
          <t>⏳ ยังไม่บันทึก</t>
        </is>
      </c>
    </row>
    <row r="26" ht="20" customHeight="1">
      <c r="A26" s="4" t="inlineStr">
        <is>
          <t>13-05-25</t>
        </is>
      </c>
      <c r="B26" s="4" t="inlineStr">
        <is>
          <t>ฝากด้วยเช็ค</t>
        </is>
      </c>
      <c r="C26" s="5" t="inlineStr"/>
      <c r="D26" s="6" t="n">
        <v>25757.01</v>
      </c>
      <c r="E26" s="6" t="n">
        <v>158413.07</v>
      </c>
      <c r="F26" s="7" t="inlineStr">
        <is>
          <t>โอนเข้า/หักบัญชีอัตโนมัติ</t>
        </is>
      </c>
      <c r="G26" s="4" t="inlineStr">
        <is>
          <t>KTB 0920 เช็คเลขที่ 10161941</t>
        </is>
      </c>
      <c r="H26" s="4" t="inlineStr">
        <is>
          <t>1200-วัสดุก่อสร้างคงเหลือ</t>
        </is>
      </c>
      <c r="I26" s="4" t="inlineStr">
        <is>
          <t>🟡 รายรับ-เช็ค</t>
        </is>
      </c>
      <c r="J26" s="4" t="inlineStr"/>
      <c r="K26" s="4" t="inlineStr"/>
      <c r="L26" s="4" t="inlineStr">
        <is>
          <t>⏳ ยังไม่บันทึก</t>
        </is>
      </c>
    </row>
    <row r="27" ht="20" customHeight="1">
      <c r="A27" s="8" t="inlineStr">
        <is>
          <t>15-05-25</t>
        </is>
      </c>
      <c r="B27" s="8" t="inlineStr">
        <is>
          <t>โอนเงิน</t>
        </is>
      </c>
      <c r="C27" s="9" t="n">
        <v>25757.01</v>
      </c>
      <c r="D27" s="10" t="inlineStr"/>
      <c r="E27" s="10" t="n">
        <v>132656.06</v>
      </c>
      <c r="F27" s="11" t="inlineStr">
        <is>
          <t>K PLUS SME</t>
        </is>
      </c>
      <c r="G27" s="8" t="inlineStr">
        <is>
          <t>โอนไป KTB X3397 น.ส.ซารีย๊ะ มาแ++</t>
        </is>
      </c>
      <c r="H27" s="8" t="inlineStr">
        <is>
          <t>5200-ค่าแรงงาน/จ่ายออก</t>
        </is>
      </c>
      <c r="I27" s="8" t="inlineStr">
        <is>
          <t>🔴 รายจ่าย</t>
        </is>
      </c>
      <c r="J27" s="8" t="inlineStr"/>
      <c r="K27" s="8" t="inlineStr"/>
      <c r="L27" s="8" t="inlineStr">
        <is>
          <t>⏳ ยังไม่บันทึก</t>
        </is>
      </c>
    </row>
    <row r="28" ht="20" customHeight="1">
      <c r="A28" s="4" t="inlineStr">
        <is>
          <t>15-05-25</t>
        </is>
      </c>
      <c r="B28" s="4" t="inlineStr">
        <is>
          <t>โอนเงิน</t>
        </is>
      </c>
      <c r="C28" s="5" t="n">
        <v>25757.01</v>
      </c>
      <c r="D28" s="6" t="inlineStr"/>
      <c r="E28" s="6" t="n">
        <v>106899.05</v>
      </c>
      <c r="F28" s="7" t="inlineStr">
        <is>
          <t>K PLUS SME</t>
        </is>
      </c>
      <c r="G28" s="4" t="inlineStr">
        <is>
          <t>โอนไป KTB X3397 น.ส.ซารีย๊ะ มาแ++</t>
        </is>
      </c>
      <c r="H28" s="4" t="inlineStr">
        <is>
          <t>5200-ค่าแรงงาน/จ่ายออก</t>
        </is>
      </c>
      <c r="I28" s="4" t="inlineStr">
        <is>
          <t>🔴 รายจ่าย</t>
        </is>
      </c>
      <c r="J28" s="4" t="inlineStr"/>
      <c r="K28" s="4" t="inlineStr"/>
      <c r="L28" s="4" t="inlineStr">
        <is>
          <t>⏳ ยังไม่บันทึก</t>
        </is>
      </c>
    </row>
    <row r="29" ht="20" customHeight="1">
      <c r="A29" s="8" t="inlineStr">
        <is>
          <t>20-05-25</t>
        </is>
      </c>
      <c r="B29" s="8" t="inlineStr">
        <is>
          <t>รับโอนเงิน</t>
        </is>
      </c>
      <c r="C29" s="9" t="inlineStr"/>
      <c r="D29" s="10" t="n">
        <v>500000</v>
      </c>
      <c r="E29" s="10" t="n">
        <v>606899.05</v>
      </c>
      <c r="F29" s="11" t="inlineStr">
        <is>
          <t>K PLUS SME</t>
        </is>
      </c>
      <c r="G29" s="8" t="inlineStr">
        <is>
          <t>จาก X8361 บจก. อามาน ปิโตรเล++</t>
        </is>
      </c>
      <c r="H29" s="8" t="inlineStr">
        <is>
          <t>4100-รายได้รับเหมา</t>
        </is>
      </c>
      <c r="I29" s="8" t="inlineStr">
        <is>
          <t>🟢 รายรับ</t>
        </is>
      </c>
      <c r="J29" s="8" t="inlineStr"/>
      <c r="K29" s="8" t="inlineStr"/>
      <c r="L29" s="8" t="inlineStr">
        <is>
          <t>⏳ ยังไม่บันทึก</t>
        </is>
      </c>
    </row>
    <row r="30" ht="20" customHeight="1">
      <c r="A30" s="4" t="inlineStr">
        <is>
          <t>20-05-25</t>
        </is>
      </c>
      <c r="B30" s="4" t="inlineStr">
        <is>
          <t>รับโอนเงิน</t>
        </is>
      </c>
      <c r="C30" s="5" t="inlineStr"/>
      <c r="D30" s="6" t="n">
        <v>400000</v>
      </c>
      <c r="E30" s="6" t="n">
        <v>1006899.05</v>
      </c>
      <c r="F30" s="7" t="inlineStr">
        <is>
          <t>Internet/Mobile KTB</t>
        </is>
      </c>
      <c r="G30" s="4" t="inlineStr">
        <is>
          <t>จาก KTB X8467 FATONA PETHOLEUM C++</t>
        </is>
      </c>
      <c r="H30" s="4" t="inlineStr">
        <is>
          <t>4100-รายได้รับเหมา</t>
        </is>
      </c>
      <c r="I30" s="4" t="inlineStr">
        <is>
          <t>🟢 รายรับ</t>
        </is>
      </c>
      <c r="J30" s="4" t="inlineStr"/>
      <c r="K30" s="4" t="inlineStr"/>
      <c r="L30" s="4" t="inlineStr">
        <is>
          <t>⏳ ยังไม่บันทึก</t>
        </is>
      </c>
    </row>
    <row r="31" ht="20" customHeight="1">
      <c r="A31" s="8" t="inlineStr">
        <is>
          <t>21-05-25</t>
        </is>
      </c>
      <c r="B31" s="8" t="inlineStr">
        <is>
          <t>โอนเงิน</t>
        </is>
      </c>
      <c r="C31" s="9" t="n">
        <v>900000</v>
      </c>
      <c r="D31" s="10" t="inlineStr"/>
      <c r="E31" s="10" t="n">
        <v>106899.05</v>
      </c>
      <c r="F31" s="11" t="inlineStr">
        <is>
          <t>K PLUS SME</t>
        </is>
      </c>
      <c r="G31" s="8" t="inlineStr">
        <is>
          <t>โอนไป KTB X3397 น.ส.ซารีย๊ะ มาแ++</t>
        </is>
      </c>
      <c r="H31" s="8" t="inlineStr">
        <is>
          <t>5200-ค่าแรงงาน/จ่ายออก</t>
        </is>
      </c>
      <c r="I31" s="8" t="inlineStr">
        <is>
          <t>🔴 รายจ่าย</t>
        </is>
      </c>
      <c r="J31" s="8" t="inlineStr"/>
      <c r="K31" s="8" t="inlineStr"/>
      <c r="L31" s="8" t="inlineStr">
        <is>
          <t>⏳ ยังไม่บันทึก</t>
        </is>
      </c>
    </row>
    <row r="32" ht="20" customHeight="1">
      <c r="A32" s="4" t="inlineStr">
        <is>
          <t>30-05-25</t>
        </is>
      </c>
      <c r="B32" s="4" t="inlineStr">
        <is>
          <t>โอนเงิน</t>
        </is>
      </c>
      <c r="C32" s="5" t="n">
        <v>38833.64</v>
      </c>
      <c r="D32" s="6" t="inlineStr"/>
      <c r="E32" s="6" t="n">
        <v>68065.41</v>
      </c>
      <c r="F32" s="7" t="inlineStr">
        <is>
          <t>K PLUS SME</t>
        </is>
      </c>
      <c r="G32" s="4" t="inlineStr">
        <is>
          <t>โอนไป GSB X4585 นางสาว อานูซ๊ะ มะ++</t>
        </is>
      </c>
      <c r="H32" s="4" t="inlineStr">
        <is>
          <t>5200-ค่าแรงงาน/จ่ายออก</t>
        </is>
      </c>
      <c r="I32" s="4" t="inlineStr">
        <is>
          <t>🔴 รายจ่าย</t>
        </is>
      </c>
      <c r="J32" s="4" t="inlineStr"/>
      <c r="K32" s="4" t="inlineStr"/>
      <c r="L32" s="4" t="inlineStr">
        <is>
          <t>⏳ ยังไม่บันทึก</t>
        </is>
      </c>
    </row>
    <row r="33" ht="20" customHeight="1">
      <c r="A33" s="8" t="inlineStr">
        <is>
          <t>16-06-25</t>
        </is>
      </c>
      <c r="B33" s="8" t="inlineStr">
        <is>
          <t>รับโอนเงิน</t>
        </is>
      </c>
      <c r="C33" s="9" t="inlineStr"/>
      <c r="D33" s="10" t="n">
        <v>500000</v>
      </c>
      <c r="E33" s="10" t="n">
        <v>568065.41</v>
      </c>
      <c r="F33" s="11" t="inlineStr">
        <is>
          <t>K PLUS SME</t>
        </is>
      </c>
      <c r="G33" s="8" t="inlineStr">
        <is>
          <t>จาก X8361 บจก. อามาน ปิโตรเล++</t>
        </is>
      </c>
      <c r="H33" s="8" t="inlineStr">
        <is>
          <t>4100-รายได้รับเหมา</t>
        </is>
      </c>
      <c r="I33" s="8" t="inlineStr">
        <is>
          <t>🟢 รายรับ</t>
        </is>
      </c>
      <c r="J33" s="8" t="inlineStr"/>
      <c r="K33" s="8" t="inlineStr"/>
      <c r="L33" s="8" t="inlineStr">
        <is>
          <t>⏳ ยังไม่บันทึก</t>
        </is>
      </c>
    </row>
    <row r="34" ht="20" customHeight="1">
      <c r="A34" s="4" t="inlineStr">
        <is>
          <t>16-06-25</t>
        </is>
      </c>
      <c r="B34" s="4" t="inlineStr">
        <is>
          <t>รับโอนเงิน</t>
        </is>
      </c>
      <c r="C34" s="5" t="inlineStr"/>
      <c r="D34" s="6" t="n">
        <v>70000</v>
      </c>
      <c r="E34" s="6" t="n">
        <v>638065.41</v>
      </c>
      <c r="F34" s="7" t="inlineStr">
        <is>
          <t>Internet/Mobile KTB</t>
        </is>
      </c>
      <c r="G34" s="4" t="inlineStr">
        <is>
          <t>จาก KTB X8467 FATONA PETHOLEUM C++</t>
        </is>
      </c>
      <c r="H34" s="4" t="inlineStr">
        <is>
          <t>4100-รายได้รับเหมา</t>
        </is>
      </c>
      <c r="I34" s="4" t="inlineStr">
        <is>
          <t>🟢 รายรับ</t>
        </is>
      </c>
      <c r="J34" s="4" t="inlineStr"/>
      <c r="K34" s="4" t="inlineStr"/>
      <c r="L34" s="4" t="inlineStr">
        <is>
          <t>⏳ ยังไม่บันทึก</t>
        </is>
      </c>
    </row>
    <row r="35" ht="20" customHeight="1">
      <c r="A35" s="8" t="inlineStr">
        <is>
          <t>16-06-25</t>
        </is>
      </c>
      <c r="B35" s="8" t="inlineStr">
        <is>
          <t>ฝากด้วยเช็ค</t>
        </is>
      </c>
      <c r="C35" s="9" t="inlineStr"/>
      <c r="D35" s="10" t="n">
        <v>19416.82</v>
      </c>
      <c r="E35" s="10" t="n">
        <v>657482.23</v>
      </c>
      <c r="F35" s="11" t="inlineStr">
        <is>
          <t>โอนเข้า/หักบัญชีอัตโนมัติ</t>
        </is>
      </c>
      <c r="G35" s="8" t="inlineStr">
        <is>
          <t>KTB 0920 เช็คเลขที่ 10154652</t>
        </is>
      </c>
      <c r="H35" s="8" t="inlineStr">
        <is>
          <t>1200-วัสดุก่อสร้างคงเหลือ</t>
        </is>
      </c>
      <c r="I35" s="8" t="inlineStr">
        <is>
          <t>🟡 รายรับ-เช็ค</t>
        </is>
      </c>
      <c r="J35" s="8" t="inlineStr"/>
      <c r="K35" s="8" t="inlineStr"/>
      <c r="L35" s="8" t="inlineStr">
        <is>
          <t>⏳ ยังไม่บันทึก</t>
        </is>
      </c>
    </row>
    <row r="36" ht="20" customHeight="1">
      <c r="A36" s="4" t="inlineStr">
        <is>
          <t>17-06-25</t>
        </is>
      </c>
      <c r="B36" s="4" t="inlineStr">
        <is>
          <t>โอนเงิน</t>
        </is>
      </c>
      <c r="C36" s="5" t="n">
        <v>400000</v>
      </c>
      <c r="D36" s="6" t="inlineStr"/>
      <c r="E36" s="6" t="n">
        <v>257482.23</v>
      </c>
      <c r="F36" s="7" t="inlineStr">
        <is>
          <t>K PLUS SME</t>
        </is>
      </c>
      <c r="G36" s="4" t="inlineStr">
        <is>
          <t>โอนไป KTB X3397 น.ส.ซารีย๊ะ มาแ++</t>
        </is>
      </c>
      <c r="H36" s="4" t="inlineStr">
        <is>
          <t>5200-ค่าแรงงาน/จ่ายออก</t>
        </is>
      </c>
      <c r="I36" s="4" t="inlineStr">
        <is>
          <t>🔴 รายจ่าย</t>
        </is>
      </c>
      <c r="J36" s="4" t="inlineStr"/>
      <c r="K36" s="4" t="inlineStr"/>
      <c r="L36" s="4" t="inlineStr">
        <is>
          <t>⏳ ยังไม่บันทึก</t>
        </is>
      </c>
    </row>
    <row r="37" ht="20" customHeight="1">
      <c r="A37" s="8" t="inlineStr">
        <is>
          <t>20-06-25</t>
        </is>
      </c>
      <c r="B37" s="8" t="inlineStr">
        <is>
          <t>รับดอกเบี้ยเงินฝาก</t>
        </is>
      </c>
      <c r="C37" s="9" t="inlineStr"/>
      <c r="D37" s="10" t="n">
        <v>558.91</v>
      </c>
      <c r="E37" s="10" t="n">
        <v>258041.14</v>
      </c>
      <c r="F37" s="11" t="inlineStr">
        <is>
          <t>โอนเข้า/หักบัญชีอัตโนมัติ</t>
        </is>
      </c>
      <c r="G37" s="8" t="inlineStr">
        <is>
          <t>รหัสอ้างอิง PCB09400</t>
        </is>
      </c>
      <c r="H37" s="8" t="inlineStr">
        <is>
          <t>4100-รายได้รับเหมา</t>
        </is>
      </c>
      <c r="I37" s="8" t="inlineStr">
        <is>
          <t>🟢 รายรับ</t>
        </is>
      </c>
      <c r="J37" s="8" t="inlineStr"/>
      <c r="K37" s="8" t="inlineStr"/>
      <c r="L37" s="8" t="inlineStr">
        <is>
          <t>⏳ ยังไม่บันทึก</t>
        </is>
      </c>
    </row>
    <row r="38" ht="20" customHeight="1">
      <c r="A38" s="4" t="inlineStr">
        <is>
          <t>20-06-25</t>
        </is>
      </c>
      <c r="B38" s="4" t="inlineStr">
        <is>
          <t>ภาษีหัก ณ ที่จ่าย</t>
        </is>
      </c>
      <c r="C38" s="5" t="n">
        <v>5.59</v>
      </c>
      <c r="D38" s="6" t="inlineStr"/>
      <c r="E38" s="6" t="n">
        <v>258035.55</v>
      </c>
      <c r="F38" s="7" t="inlineStr">
        <is>
          <t>โอนเข้า/หักบัญชีอัตโนมัติ</t>
        </is>
      </c>
      <c r="G38" s="4" t="inlineStr">
        <is>
          <t>รหัสอ้างอิง PCB09400</t>
        </is>
      </c>
      <c r="H38" s="4" t="inlineStr">
        <is>
          <t>5200-ค่าแรงงาน/จ่ายออก</t>
        </is>
      </c>
      <c r="I38" s="4" t="inlineStr">
        <is>
          <t>🔴 รายจ่าย</t>
        </is>
      </c>
      <c r="J38" s="4" t="inlineStr"/>
      <c r="K38" s="4" t="inlineStr"/>
      <c r="L38" s="4" t="inlineStr">
        <is>
          <t>⏳ ยังไม่บันทึก</t>
        </is>
      </c>
    </row>
    <row r="39" ht="20" customHeight="1">
      <c r="A39" s="8" t="inlineStr">
        <is>
          <t>23-06-25</t>
        </is>
      </c>
      <c r="B39" s="8" t="inlineStr">
        <is>
          <t>โอนเงิน</t>
        </is>
      </c>
      <c r="C39" s="9" t="n">
        <v>230000</v>
      </c>
      <c r="D39" s="10" t="inlineStr"/>
      <c r="E39" s="10" t="n">
        <v>28035.55</v>
      </c>
      <c r="F39" s="11" t="inlineStr">
        <is>
          <t>K PLUS SME</t>
        </is>
      </c>
      <c r="G39" s="8" t="inlineStr">
        <is>
          <t>โอนไป KTB X3397 น.ส.ซารีย๊ะ มาแ++</t>
        </is>
      </c>
      <c r="H39" s="8" t="inlineStr">
        <is>
          <t>5200-ค่าแรงงาน/จ่ายออก</t>
        </is>
      </c>
      <c r="I39" s="8" t="inlineStr">
        <is>
          <t>🔴 รายจ่าย</t>
        </is>
      </c>
      <c r="J39" s="8" t="inlineStr"/>
      <c r="K39" s="8" t="inlineStr"/>
      <c r="L39" s="8" t="inlineStr">
        <is>
          <t>⏳ ยังไม่บันทึก</t>
        </is>
      </c>
    </row>
    <row r="40" ht="20" customHeight="1">
      <c r="A40" s="4" t="inlineStr">
        <is>
          <t>23-06-25</t>
        </is>
      </c>
      <c r="B40" s="4" t="inlineStr">
        <is>
          <t>โอนเงิน</t>
        </is>
      </c>
      <c r="C40" s="5" t="n">
        <v>19416.82</v>
      </c>
      <c r="D40" s="6" t="inlineStr"/>
      <c r="E40" s="6" t="n">
        <v>8618.73</v>
      </c>
      <c r="F40" s="7" t="inlineStr">
        <is>
          <t>K PLUS SME</t>
        </is>
      </c>
      <c r="G40" s="4" t="inlineStr">
        <is>
          <t>โอนไป GSB X4585 นางสาว อานูซ๊ะ มะ++</t>
        </is>
      </c>
      <c r="H40" s="4" t="inlineStr">
        <is>
          <t>5200-ค่าแรงงาน/จ่ายออก</t>
        </is>
      </c>
      <c r="I40" s="4" t="inlineStr">
        <is>
          <t>🔴 รายจ่าย</t>
        </is>
      </c>
      <c r="J40" s="4" t="inlineStr"/>
      <c r="K40" s="4" t="inlineStr"/>
      <c r="L40" s="4" t="inlineStr">
        <is>
          <t>⏳ ยังไม่บันทึก</t>
        </is>
      </c>
    </row>
    <row r="41" ht="20" customHeight="1">
      <c r="A41" s="8" t="inlineStr">
        <is>
          <t>08-07-25</t>
        </is>
      </c>
      <c r="B41" s="8" t="inlineStr">
        <is>
          <t>ฝากด้วยเช็ค</t>
        </is>
      </c>
      <c r="C41" s="9" t="inlineStr"/>
      <c r="D41" s="10" t="n">
        <v>25757.01</v>
      </c>
      <c r="E41" s="10" t="n">
        <v>34375.74</v>
      </c>
      <c r="F41" s="11" t="inlineStr">
        <is>
          <t>โอนเข้า/หักบัญชีอัตโนมัติ</t>
        </is>
      </c>
      <c r="G41" s="8" t="inlineStr">
        <is>
          <t>KTB 0920 เช็คเลขที่ 10161989</t>
        </is>
      </c>
      <c r="H41" s="8" t="inlineStr">
        <is>
          <t>1200-วัสดุก่อสร้างคงเหลือ</t>
        </is>
      </c>
      <c r="I41" s="8" t="inlineStr">
        <is>
          <t>🟡 รายรับ-เช็ค</t>
        </is>
      </c>
      <c r="J41" s="8" t="inlineStr"/>
      <c r="K41" s="8" t="inlineStr"/>
      <c r="L41" s="8" t="inlineStr">
        <is>
          <t>⏳ ยังไม่บันทึก</t>
        </is>
      </c>
    </row>
    <row r="42" ht="20" customHeight="1">
      <c r="A42" s="4" t="inlineStr">
        <is>
          <t>08-07-25</t>
        </is>
      </c>
      <c r="B42" s="4" t="inlineStr">
        <is>
          <t>ฝากด้วยเช็ค</t>
        </is>
      </c>
      <c r="C42" s="5" t="inlineStr"/>
      <c r="D42" s="6" t="n">
        <v>19416.82</v>
      </c>
      <c r="E42" s="6" t="n">
        <v>53792.56</v>
      </c>
      <c r="F42" s="7" t="inlineStr">
        <is>
          <t>โอนเข้า/หักบัญชีอัตโนมัติ</t>
        </is>
      </c>
      <c r="G42" s="4" t="inlineStr">
        <is>
          <t>KTB 0920 เช็คเลขที่ 10163156</t>
        </is>
      </c>
      <c r="H42" s="4" t="inlineStr">
        <is>
          <t>1200-วัสดุก่อสร้างคงเหลือ</t>
        </is>
      </c>
      <c r="I42" s="4" t="inlineStr">
        <is>
          <t>🟡 รายรับ-เช็ค</t>
        </is>
      </c>
      <c r="J42" s="4" t="inlineStr"/>
      <c r="K42" s="4" t="inlineStr"/>
      <c r="L42" s="4" t="inlineStr">
        <is>
          <t>⏳ ยังไม่บันทึก</t>
        </is>
      </c>
    </row>
    <row r="43" ht="20" customHeight="1">
      <c r="A43" s="8" t="inlineStr">
        <is>
          <t>09-07-25</t>
        </is>
      </c>
      <c r="B43" s="8" t="inlineStr">
        <is>
          <t>ค่าธรรมเนียม</t>
        </is>
      </c>
      <c r="C43" s="9" t="n">
        <v>25.76</v>
      </c>
      <c r="D43" s="10" t="inlineStr"/>
      <c r="E43" s="10" t="n">
        <v>53766.8</v>
      </c>
      <c r="F43" s="11" t="inlineStr">
        <is>
          <t>โอนเข้า/หักบัญชีอัตโนมัติ</t>
        </is>
      </c>
      <c r="G43" s="8" t="inlineStr">
        <is>
          <t>Cheque Collection Fee KTB 0920 เช็คเลขที่ 10161989</t>
        </is>
      </c>
      <c r="H43" s="8" t="inlineStr">
        <is>
          <t>1200-วัสดุก่อสร้างคงเหลือ</t>
        </is>
      </c>
      <c r="I43" s="8" t="inlineStr">
        <is>
          <t>🟡 รายรับ-เช็ค</t>
        </is>
      </c>
      <c r="J43" s="8" t="inlineStr"/>
      <c r="K43" s="8" t="inlineStr"/>
      <c r="L43" s="8" t="inlineStr">
        <is>
          <t>⏳ ยังไม่บันทึก</t>
        </is>
      </c>
    </row>
    <row r="44" ht="20" customHeight="1">
      <c r="A44" s="4" t="inlineStr">
        <is>
          <t>09-07-25</t>
        </is>
      </c>
      <c r="B44" s="4" t="inlineStr">
        <is>
          <t>ค่าธรรมเนียม</t>
        </is>
      </c>
      <c r="C44" s="5" t="n">
        <v>19.42</v>
      </c>
      <c r="D44" s="6" t="inlineStr"/>
      <c r="E44" s="6" t="n">
        <v>53747.38</v>
      </c>
      <c r="F44" s="7" t="inlineStr">
        <is>
          <t>โอนเข้า/หักบัญชีอัตโนมัติ</t>
        </is>
      </c>
      <c r="G44" s="4" t="inlineStr">
        <is>
          <t>Cheque Collection Fee KTB 0920 เช็คเลขที่ 10163156</t>
        </is>
      </c>
      <c r="H44" s="4" t="inlineStr">
        <is>
          <t>1200-วัสดุก่อสร้างคงเหลือ</t>
        </is>
      </c>
      <c r="I44" s="4" t="inlineStr">
        <is>
          <t>🟡 รายรับ-เช็ค</t>
        </is>
      </c>
      <c r="J44" s="4" t="inlineStr"/>
      <c r="K44" s="4" t="inlineStr"/>
      <c r="L44" s="4" t="inlineStr">
        <is>
          <t>⏳ ยังไม่บันทึก</t>
        </is>
      </c>
    </row>
    <row r="45" ht="20" customHeight="1">
      <c r="A45" s="8" t="inlineStr">
        <is>
          <t>13-07-25</t>
        </is>
      </c>
      <c r="B45" s="8" t="inlineStr">
        <is>
          <t>โอนเงิน</t>
        </is>
      </c>
      <c r="C45" s="9" t="n">
        <v>19416</v>
      </c>
      <c r="D45" s="10" t="inlineStr"/>
      <c r="E45" s="10" t="n">
        <v>34331.38</v>
      </c>
      <c r="F45" s="11" t="inlineStr">
        <is>
          <t>K PLUS SME</t>
        </is>
      </c>
      <c r="G45" s="8" t="inlineStr">
        <is>
          <t>โอนไป GSB X4585 นางสาว อานูซ๊ะ มะ++</t>
        </is>
      </c>
      <c r="H45" s="8" t="inlineStr">
        <is>
          <t>5200-ค่าแรงงาน/จ่ายออก</t>
        </is>
      </c>
      <c r="I45" s="8" t="inlineStr">
        <is>
          <t>🔴 รายจ่าย</t>
        </is>
      </c>
      <c r="J45" s="8" t="inlineStr"/>
      <c r="K45" s="8" t="inlineStr"/>
      <c r="L45" s="8" t="inlineStr">
        <is>
          <t>⏳ ยังไม่บันทึก</t>
        </is>
      </c>
    </row>
    <row r="46" ht="20" customHeight="1">
      <c r="A46" s="4" t="inlineStr">
        <is>
          <t>13-07-25</t>
        </is>
      </c>
      <c r="B46" s="4" t="inlineStr">
        <is>
          <t>โอนเงิน</t>
        </is>
      </c>
      <c r="C46" s="5" t="n">
        <v>25757</v>
      </c>
      <c r="D46" s="6" t="inlineStr"/>
      <c r="E46" s="6" t="n">
        <v>8574.379999999999</v>
      </c>
      <c r="F46" s="7" t="inlineStr">
        <is>
          <t>K PLUS SME</t>
        </is>
      </c>
      <c r="G46" s="4" t="inlineStr">
        <is>
          <t>โอนไป KTB X3397 น.ส.ซารีย๊ะ มาแ++</t>
        </is>
      </c>
      <c r="H46" s="4" t="inlineStr">
        <is>
          <t>5200-ค่าแรงงาน/จ่ายออก</t>
        </is>
      </c>
      <c r="I46" s="4" t="inlineStr">
        <is>
          <t>🔴 รายจ่าย</t>
        </is>
      </c>
      <c r="J46" s="4" t="inlineStr"/>
      <c r="K46" s="4" t="inlineStr"/>
      <c r="L46" s="4" t="inlineStr">
        <is>
          <t>⏳ ยังไม่บันทึก</t>
        </is>
      </c>
    </row>
    <row r="47" ht="20" customHeight="1">
      <c r="A47" s="8" t="inlineStr">
        <is>
          <t>30-07-25</t>
        </is>
      </c>
      <c r="B47" s="8" t="inlineStr">
        <is>
          <t>ฝากด้วยเช็ค</t>
        </is>
      </c>
      <c r="C47" s="9" t="inlineStr"/>
      <c r="D47" s="10" t="n">
        <v>25757.01</v>
      </c>
      <c r="E47" s="10" t="n">
        <v>34331.39</v>
      </c>
      <c r="F47" s="11" t="inlineStr">
        <is>
          <t>โอนเข้า/หักบัญชีอัตโนมัติ</t>
        </is>
      </c>
      <c r="G47" s="8" t="inlineStr">
        <is>
          <t>KTB 0920 เช็คเลขที่ 10161980</t>
        </is>
      </c>
      <c r="H47" s="8" t="inlineStr">
        <is>
          <t>1200-วัสดุก่อสร้างคงเหลือ</t>
        </is>
      </c>
      <c r="I47" s="8" t="inlineStr">
        <is>
          <t>🟡 รายรับ-เช็ค</t>
        </is>
      </c>
      <c r="J47" s="8" t="inlineStr"/>
      <c r="K47" s="8" t="inlineStr"/>
      <c r="L47" s="8" t="inlineStr">
        <is>
          <t>⏳ ยังไม่บันทึก</t>
        </is>
      </c>
    </row>
    <row r="48" ht="20" customHeight="1">
      <c r="A48" s="4" t="inlineStr">
        <is>
          <t>30-07-25</t>
        </is>
      </c>
      <c r="B48" s="4" t="inlineStr">
        <is>
          <t>ฝากด้วยเช็ค</t>
        </is>
      </c>
      <c r="C48" s="5" t="inlineStr"/>
      <c r="D48" s="6" t="n">
        <v>422018.69</v>
      </c>
      <c r="E48" s="6" t="n">
        <v>456350.08</v>
      </c>
      <c r="F48" s="7" t="inlineStr">
        <is>
          <t>โอนเข้า/หักบัญชีอัตโนมัติ</t>
        </is>
      </c>
      <c r="G48" s="4" t="inlineStr">
        <is>
          <t>BAAC 0333 เช็คเลขที่ 61771341</t>
        </is>
      </c>
      <c r="H48" s="4" t="inlineStr">
        <is>
          <t>1200-วัสดุก่อสร้างคงเหลือ</t>
        </is>
      </c>
      <c r="I48" s="4" t="inlineStr">
        <is>
          <t>🟡 รายรับ-เช็ค</t>
        </is>
      </c>
      <c r="J48" s="4" t="inlineStr"/>
      <c r="K48" s="4" t="inlineStr"/>
      <c r="L48" s="4" t="inlineStr">
        <is>
          <t>⏳ ยังไม่บันทึก</t>
        </is>
      </c>
    </row>
    <row r="49" ht="20" customHeight="1">
      <c r="A49" s="8" t="inlineStr">
        <is>
          <t>31-07-25</t>
        </is>
      </c>
      <c r="B49" s="8" t="inlineStr">
        <is>
          <t>ค่าธรรมเนียม</t>
        </is>
      </c>
      <c r="C49" s="9" t="n">
        <v>422.02</v>
      </c>
      <c r="D49" s="10" t="inlineStr"/>
      <c r="E49" s="10" t="n">
        <v>455928.06</v>
      </c>
      <c r="F49" s="11" t="inlineStr">
        <is>
          <t>โอนเข้า/หักบัญชีอัตโนมัติ</t>
        </is>
      </c>
      <c r="G49" s="8" t="inlineStr">
        <is>
          <t>Cheque Collection Fee BAAC 0333 เช็คเลขที่ 61771341</t>
        </is>
      </c>
      <c r="H49" s="8" t="inlineStr">
        <is>
          <t>1200-วัสดุก่อสร้างคงเหลือ</t>
        </is>
      </c>
      <c r="I49" s="8" t="inlineStr">
        <is>
          <t>🟡 รายรับ-เช็ค</t>
        </is>
      </c>
      <c r="J49" s="8" t="inlineStr"/>
      <c r="K49" s="8" t="inlineStr"/>
      <c r="L49" s="8" t="inlineStr">
        <is>
          <t>⏳ ยังไม่บันทึก</t>
        </is>
      </c>
    </row>
    <row r="50" ht="20" customHeight="1">
      <c r="A50" s="4" t="inlineStr">
        <is>
          <t>01-08-25</t>
        </is>
      </c>
      <c r="B50" s="4" t="inlineStr">
        <is>
          <t>รับโอนเงินอัตโนมัติ</t>
        </is>
      </c>
      <c r="C50" s="5" t="inlineStr"/>
      <c r="D50" s="6" t="n">
        <v>41400</v>
      </c>
      <c r="E50" s="6" t="n">
        <v>497328.06</v>
      </c>
      <c r="F50" s="7" t="inlineStr">
        <is>
          <t>โอนเข้า/หักบัญชีอัตโนมัติ</t>
        </is>
      </c>
      <c r="G50" s="4" t="inlineStr">
        <is>
          <t>จาก SMART KTB X8460 เงินนอกงบประมาณวิท++</t>
        </is>
      </c>
      <c r="H50" s="4" t="inlineStr">
        <is>
          <t>4100-รายได้รับเหมา</t>
        </is>
      </c>
      <c r="I50" s="4" t="inlineStr">
        <is>
          <t>🟢 รายรับ</t>
        </is>
      </c>
      <c r="J50" s="4" t="inlineStr"/>
      <c r="K50" s="4" t="inlineStr"/>
      <c r="L50" s="4" t="inlineStr">
        <is>
          <t>⏳ ยังไม่บันทึก</t>
        </is>
      </c>
    </row>
    <row r="51" ht="20" customHeight="1">
      <c r="A51" s="8" t="inlineStr">
        <is>
          <t>01-08-25</t>
        </is>
      </c>
      <c r="B51" s="8" t="inlineStr">
        <is>
          <t>โอนเงิน</t>
        </is>
      </c>
      <c r="C51" s="9" t="n">
        <v>400000</v>
      </c>
      <c r="D51" s="10" t="inlineStr"/>
      <c r="E51" s="10" t="n">
        <v>97328.06</v>
      </c>
      <c r="F51" s="11" t="inlineStr">
        <is>
          <t>K PLUS SME</t>
        </is>
      </c>
      <c r="G51" s="8" t="inlineStr">
        <is>
          <t>โอนไป KTB X3397 น.ส.ซารีย๊ะ มาแ++</t>
        </is>
      </c>
      <c r="H51" s="8" t="inlineStr">
        <is>
          <t>5200-ค่าแรงงาน/จ่ายออก</t>
        </is>
      </c>
      <c r="I51" s="8" t="inlineStr">
        <is>
          <t>🔴 รายจ่าย</t>
        </is>
      </c>
      <c r="J51" s="8" t="inlineStr"/>
      <c r="K51" s="8" t="inlineStr"/>
      <c r="L51" s="8" t="inlineStr">
        <is>
          <t>⏳ ยังไม่บันทึก</t>
        </is>
      </c>
    </row>
    <row r="52" ht="20" customHeight="1">
      <c r="A52" s="4" t="inlineStr">
        <is>
          <t>01-08-25</t>
        </is>
      </c>
      <c r="B52" s="4" t="inlineStr">
        <is>
          <t>โอนเงิน</t>
        </is>
      </c>
      <c r="C52" s="5" t="n">
        <v>22018</v>
      </c>
      <c r="D52" s="6" t="inlineStr"/>
      <c r="E52" s="6" t="n">
        <v>75310.06</v>
      </c>
      <c r="F52" s="7" t="inlineStr">
        <is>
          <t>K PLUS SME</t>
        </is>
      </c>
      <c r="G52" s="4" t="inlineStr">
        <is>
          <t>โอนไป X0476 นาย ฟัรฮาน ดอเล++</t>
        </is>
      </c>
      <c r="H52" s="4" t="inlineStr">
        <is>
          <t>5200-ค่าแรงงาน/จ่ายออก</t>
        </is>
      </c>
      <c r="I52" s="4" t="inlineStr">
        <is>
          <t>🔴 รายจ่าย</t>
        </is>
      </c>
      <c r="J52" s="4" t="inlineStr"/>
      <c r="K52" s="4" t="inlineStr"/>
      <c r="L52" s="4" t="inlineStr">
        <is>
          <t>⏳ ยังไม่บันทึก</t>
        </is>
      </c>
    </row>
    <row r="53" ht="20" customHeight="1">
      <c r="A53" s="8" t="inlineStr">
        <is>
          <t>06-08-25</t>
        </is>
      </c>
      <c r="B53" s="8" t="inlineStr">
        <is>
          <t>รับโอนเงิน</t>
        </is>
      </c>
      <c r="C53" s="9" t="inlineStr"/>
      <c r="D53" s="10" t="n">
        <v>475000</v>
      </c>
      <c r="E53" s="10" t="n">
        <v>550310.0600000001</v>
      </c>
      <c r="F53" s="11" t="inlineStr">
        <is>
          <t>Internet/Mobile KTB</t>
        </is>
      </c>
      <c r="G53" s="8" t="inlineStr">
        <is>
          <t>จาก KTB X8467 FATONA PETHOLEUM C++</t>
        </is>
      </c>
      <c r="H53" s="8" t="inlineStr">
        <is>
          <t>4100-รายได้รับเหมา</t>
        </is>
      </c>
      <c r="I53" s="8" t="inlineStr">
        <is>
          <t>🟢 รายรับ</t>
        </is>
      </c>
      <c r="J53" s="8" t="inlineStr"/>
      <c r="K53" s="8" t="inlineStr"/>
      <c r="L53" s="8" t="inlineStr">
        <is>
          <t>⏳ ยังไม่บันทึก</t>
        </is>
      </c>
    </row>
    <row r="54" ht="20" customHeight="1">
      <c r="A54" s="4" t="inlineStr">
        <is>
          <t>08-08-25</t>
        </is>
      </c>
      <c r="B54" s="4" t="inlineStr">
        <is>
          <t>โอนเงิน</t>
        </is>
      </c>
      <c r="C54" s="5" t="n">
        <v>475000</v>
      </c>
      <c r="D54" s="6" t="inlineStr"/>
      <c r="E54" s="6" t="n">
        <v>75310.06</v>
      </c>
      <c r="F54" s="7" t="inlineStr">
        <is>
          <t>K PLUS SME</t>
        </is>
      </c>
      <c r="G54" s="4" t="inlineStr">
        <is>
          <t>โอนไป KTB X3397 น.ส.ซารีย๊ะ มาแ++</t>
        </is>
      </c>
      <c r="H54" s="4" t="inlineStr">
        <is>
          <t>5200-ค่าแรงงาน/จ่ายออก</t>
        </is>
      </c>
      <c r="I54" s="4" t="inlineStr">
        <is>
          <t>🔴 รายจ่าย</t>
        </is>
      </c>
      <c r="J54" s="4" t="inlineStr"/>
      <c r="K54" s="4" t="inlineStr"/>
      <c r="L54" s="4" t="inlineStr">
        <is>
          <t>⏳ ยังไม่บันทึก</t>
        </is>
      </c>
    </row>
    <row r="55" ht="20" customHeight="1">
      <c r="A55" s="8" t="inlineStr">
        <is>
          <t>13-08-25</t>
        </is>
      </c>
      <c r="B55" s="8" t="inlineStr">
        <is>
          <t>ฝากด้วยเช็ค</t>
        </is>
      </c>
      <c r="C55" s="9" t="inlineStr"/>
      <c r="D55" s="10" t="n">
        <v>19416.82</v>
      </c>
      <c r="E55" s="10" t="n">
        <v>94726.88</v>
      </c>
      <c r="F55" s="11" t="inlineStr">
        <is>
          <t>โอนเข้า/หักบัญชีอัตโนมัติ</t>
        </is>
      </c>
      <c r="G55" s="8" t="inlineStr">
        <is>
          <t>KTB 0920 เช็คเลขที่ 10163189</t>
        </is>
      </c>
      <c r="H55" s="8" t="inlineStr">
        <is>
          <t>1200-วัสดุก่อสร้างคงเหลือ</t>
        </is>
      </c>
      <c r="I55" s="8" t="inlineStr">
        <is>
          <t>🟡 รายรับ-เช็ค</t>
        </is>
      </c>
      <c r="J55" s="8" t="inlineStr"/>
      <c r="K55" s="8" t="inlineStr"/>
      <c r="L55" s="8" t="inlineStr">
        <is>
          <t>⏳ ยังไม่บันทึก</t>
        </is>
      </c>
    </row>
    <row r="56" ht="20" customHeight="1">
      <c r="A56" s="4" t="inlineStr">
        <is>
          <t>15-08-25</t>
        </is>
      </c>
      <c r="B56" s="4" t="inlineStr">
        <is>
          <t>โอนเงิน</t>
        </is>
      </c>
      <c r="C56" s="5" t="n">
        <v>19416.82</v>
      </c>
      <c r="D56" s="6" t="inlineStr"/>
      <c r="E56" s="6" t="n">
        <v>75310.06</v>
      </c>
      <c r="F56" s="7" t="inlineStr">
        <is>
          <t>K PLUS SME</t>
        </is>
      </c>
      <c r="G56" s="4" t="inlineStr">
        <is>
          <t>โอนไป GSB X4585 นางสาว อานูซ๊ะ มะ++</t>
        </is>
      </c>
      <c r="H56" s="4" t="inlineStr">
        <is>
          <t>5200-ค่าแรงงาน/จ่ายออก</t>
        </is>
      </c>
      <c r="I56" s="4" t="inlineStr">
        <is>
          <t>🔴 รายจ่าย</t>
        </is>
      </c>
      <c r="J56" s="4" t="inlineStr"/>
      <c r="K56" s="4" t="inlineStr"/>
      <c r="L56" s="4" t="inlineStr">
        <is>
          <t>⏳ ยังไม่บันทึก</t>
        </is>
      </c>
    </row>
    <row r="57" ht="20" customHeight="1">
      <c r="A57" s="8" t="inlineStr">
        <is>
          <t>15-08-25</t>
        </is>
      </c>
      <c r="B57" s="8" t="inlineStr">
        <is>
          <t>โอนเงิน</t>
        </is>
      </c>
      <c r="C57" s="9" t="n">
        <v>25757</v>
      </c>
      <c r="D57" s="10" t="inlineStr"/>
      <c r="E57" s="10" t="n">
        <v>49553.06</v>
      </c>
      <c r="F57" s="11" t="inlineStr">
        <is>
          <t>K PLUS SME</t>
        </is>
      </c>
      <c r="G57" s="8" t="inlineStr">
        <is>
          <t>โอนไป KTB X3397 น.ส.ซารีย๊ะ มาแ++</t>
        </is>
      </c>
      <c r="H57" s="8" t="inlineStr">
        <is>
          <t>5200-ค่าแรงงาน/จ่ายออก</t>
        </is>
      </c>
      <c r="I57" s="8" t="inlineStr">
        <is>
          <t>🔴 รายจ่าย</t>
        </is>
      </c>
      <c r="J57" s="8" t="inlineStr"/>
      <c r="K57" s="8" t="inlineStr"/>
      <c r="L57" s="8" t="inlineStr">
        <is>
          <t>⏳ ยังไม่บันทึก</t>
        </is>
      </c>
    </row>
    <row r="58" ht="20" customHeight="1">
      <c r="A58" s="4" t="inlineStr">
        <is>
          <t>01-08-25</t>
        </is>
      </c>
      <c r="B58" s="4" t="inlineStr">
        <is>
          <t>รับโอนเงินอัตโนมัติ</t>
        </is>
      </c>
      <c r="C58" s="5" t="inlineStr"/>
      <c r="D58" s="6" t="n">
        <v>41400</v>
      </c>
      <c r="E58" s="6" t="n">
        <v>497328.06</v>
      </c>
      <c r="F58" s="7" t="inlineStr">
        <is>
          <t>โอนเข้า/หักบัญชีอัตโนมัติ</t>
        </is>
      </c>
      <c r="G58" s="4" t="inlineStr">
        <is>
          <t>จาก SMART KTB X8460 เงินนอกงบประมาณวิท++</t>
        </is>
      </c>
      <c r="H58" s="4" t="inlineStr">
        <is>
          <t>4100-รายได้รับเหมา</t>
        </is>
      </c>
      <c r="I58" s="4" t="inlineStr">
        <is>
          <t>🟢 รายรับ</t>
        </is>
      </c>
      <c r="J58" s="4" t="inlineStr"/>
      <c r="K58" s="4" t="inlineStr"/>
      <c r="L58" s="4" t="inlineStr">
        <is>
          <t>⏳ ยังไม่บันทึก</t>
        </is>
      </c>
    </row>
    <row r="59" ht="20" customHeight="1">
      <c r="A59" s="8" t="inlineStr">
        <is>
          <t>01-08-25</t>
        </is>
      </c>
      <c r="B59" s="8" t="inlineStr">
        <is>
          <t>โอนเงิน</t>
        </is>
      </c>
      <c r="C59" s="9" t="n">
        <v>400000</v>
      </c>
      <c r="D59" s="10" t="inlineStr"/>
      <c r="E59" s="10" t="n">
        <v>97328.06</v>
      </c>
      <c r="F59" s="11" t="inlineStr">
        <is>
          <t>K PLUS SME</t>
        </is>
      </c>
      <c r="G59" s="8" t="inlineStr">
        <is>
          <t>โอนไป KTB X3397 น.ส.ซารีย๊ะ มาแ++</t>
        </is>
      </c>
      <c r="H59" s="8" t="inlineStr">
        <is>
          <t>5200-ค่าแรงงาน/จ่ายออก</t>
        </is>
      </c>
      <c r="I59" s="8" t="inlineStr">
        <is>
          <t>🔴 รายจ่าย</t>
        </is>
      </c>
      <c r="J59" s="8" t="inlineStr"/>
      <c r="K59" s="8" t="inlineStr"/>
      <c r="L59" s="8" t="inlineStr">
        <is>
          <t>⏳ ยังไม่บันทึก</t>
        </is>
      </c>
    </row>
    <row r="60" ht="20" customHeight="1">
      <c r="A60" s="4" t="inlineStr">
        <is>
          <t>01-08-25</t>
        </is>
      </c>
      <c r="B60" s="4" t="inlineStr">
        <is>
          <t>โอนเงิน</t>
        </is>
      </c>
      <c r="C60" s="5" t="n">
        <v>22018</v>
      </c>
      <c r="D60" s="6" t="inlineStr"/>
      <c r="E60" s="6" t="n">
        <v>75310.06</v>
      </c>
      <c r="F60" s="7" t="inlineStr">
        <is>
          <t>K PLUS SME</t>
        </is>
      </c>
      <c r="G60" s="4" t="inlineStr">
        <is>
          <t>โอนไป X0476 นาย ฟัรฮาน ดอเล++</t>
        </is>
      </c>
      <c r="H60" s="4" t="inlineStr">
        <is>
          <t>5200-ค่าแรงงาน/จ่ายออก</t>
        </is>
      </c>
      <c r="I60" s="4" t="inlineStr">
        <is>
          <t>🔴 รายจ่าย</t>
        </is>
      </c>
      <c r="J60" s="4" t="inlineStr"/>
      <c r="K60" s="4" t="inlineStr"/>
      <c r="L60" s="4" t="inlineStr">
        <is>
          <t>⏳ ยังไม่บันทึก</t>
        </is>
      </c>
    </row>
    <row r="61" ht="20" customHeight="1">
      <c r="A61" s="8" t="inlineStr">
        <is>
          <t>06-08-25</t>
        </is>
      </c>
      <c r="B61" s="8" t="inlineStr">
        <is>
          <t>รับโอนเงิน</t>
        </is>
      </c>
      <c r="C61" s="9" t="inlineStr"/>
      <c r="D61" s="10" t="n">
        <v>475000</v>
      </c>
      <c r="E61" s="10" t="n">
        <v>550310.0600000001</v>
      </c>
      <c r="F61" s="11" t="inlineStr">
        <is>
          <t>Internet/Mobile KTB</t>
        </is>
      </c>
      <c r="G61" s="8" t="inlineStr">
        <is>
          <t>จาก KTB X8467 FATONA PETHOLEUM C++</t>
        </is>
      </c>
      <c r="H61" s="8" t="inlineStr">
        <is>
          <t>4100-รายได้รับเหมา</t>
        </is>
      </c>
      <c r="I61" s="8" t="inlineStr">
        <is>
          <t>🟢 รายรับ</t>
        </is>
      </c>
      <c r="J61" s="8" t="inlineStr"/>
      <c r="K61" s="8" t="inlineStr"/>
      <c r="L61" s="8" t="inlineStr">
        <is>
          <t>⏳ ยังไม่บันทึก</t>
        </is>
      </c>
    </row>
    <row r="62" ht="20" customHeight="1">
      <c r="A62" s="4" t="inlineStr">
        <is>
          <t>08-08-25</t>
        </is>
      </c>
      <c r="B62" s="4" t="inlineStr">
        <is>
          <t>โอนเงิน</t>
        </is>
      </c>
      <c r="C62" s="5" t="n">
        <v>475000</v>
      </c>
      <c r="D62" s="6" t="inlineStr"/>
      <c r="E62" s="6" t="n">
        <v>75310.06</v>
      </c>
      <c r="F62" s="7" t="inlineStr">
        <is>
          <t>K PLUS SME</t>
        </is>
      </c>
      <c r="G62" s="4" t="inlineStr">
        <is>
          <t>โอนไป KTB X3397 น.ส.ซารีย๊ะ มาแ++</t>
        </is>
      </c>
      <c r="H62" s="4" t="inlineStr">
        <is>
          <t>5200-ค่าแรงงาน/จ่ายออก</t>
        </is>
      </c>
      <c r="I62" s="4" t="inlineStr">
        <is>
          <t>🔴 รายจ่าย</t>
        </is>
      </c>
      <c r="J62" s="4" t="inlineStr"/>
      <c r="K62" s="4" t="inlineStr"/>
      <c r="L62" s="4" t="inlineStr">
        <is>
          <t>⏳ ยังไม่บันทึก</t>
        </is>
      </c>
    </row>
    <row r="63" ht="20" customHeight="1">
      <c r="A63" s="8" t="inlineStr">
        <is>
          <t>13-08-25</t>
        </is>
      </c>
      <c r="B63" s="8" t="inlineStr">
        <is>
          <t>ฝากด้วยเช็ค</t>
        </is>
      </c>
      <c r="C63" s="9" t="inlineStr"/>
      <c r="D63" s="10" t="n">
        <v>19416.82</v>
      </c>
      <c r="E63" s="10" t="n">
        <v>94726.88</v>
      </c>
      <c r="F63" s="11" t="inlineStr">
        <is>
          <t>โอนเข้า/หักบัญชีอัตโนมัติ</t>
        </is>
      </c>
      <c r="G63" s="8" t="inlineStr">
        <is>
          <t>KTB 0920 เช็คเลขที่ 10163189</t>
        </is>
      </c>
      <c r="H63" s="8" t="inlineStr">
        <is>
          <t>1200-วัสดุก่อสร้างคงเหลือ</t>
        </is>
      </c>
      <c r="I63" s="8" t="inlineStr">
        <is>
          <t>🟡 รายรับ-เช็ค</t>
        </is>
      </c>
      <c r="J63" s="8" t="inlineStr"/>
      <c r="K63" s="8" t="inlineStr"/>
      <c r="L63" s="8" t="inlineStr">
        <is>
          <t>⏳ ยังไม่บันทึก</t>
        </is>
      </c>
    </row>
    <row r="64" ht="20" customHeight="1">
      <c r="A64" s="4" t="inlineStr">
        <is>
          <t>15-08-25</t>
        </is>
      </c>
      <c r="B64" s="4" t="inlineStr">
        <is>
          <t>โอนเงิน</t>
        </is>
      </c>
      <c r="C64" s="5" t="n">
        <v>19416.82</v>
      </c>
      <c r="D64" s="6" t="inlineStr"/>
      <c r="E64" s="6" t="n">
        <v>75310.06</v>
      </c>
      <c r="F64" s="7" t="inlineStr">
        <is>
          <t>K PLUS SME</t>
        </is>
      </c>
      <c r="G64" s="4" t="inlineStr">
        <is>
          <t>โอนไป GSB X4585 นางสาว อานูซ๊ะ มะ++</t>
        </is>
      </c>
      <c r="H64" s="4" t="inlineStr">
        <is>
          <t>5200-ค่าแรงงาน/จ่ายออก</t>
        </is>
      </c>
      <c r="I64" s="4" t="inlineStr">
        <is>
          <t>🔴 รายจ่าย</t>
        </is>
      </c>
      <c r="J64" s="4" t="inlineStr"/>
      <c r="K64" s="4" t="inlineStr"/>
      <c r="L64" s="4" t="inlineStr">
        <is>
          <t>⏳ ยังไม่บันทึก</t>
        </is>
      </c>
    </row>
    <row r="65" ht="20" customHeight="1">
      <c r="A65" s="8" t="inlineStr">
        <is>
          <t>15-08-25</t>
        </is>
      </c>
      <c r="B65" s="8" t="inlineStr">
        <is>
          <t>โอนเงิน</t>
        </is>
      </c>
      <c r="C65" s="9" t="n">
        <v>25757</v>
      </c>
      <c r="D65" s="10" t="inlineStr"/>
      <c r="E65" s="10" t="n">
        <v>49553.06</v>
      </c>
      <c r="F65" s="11" t="inlineStr">
        <is>
          <t>K PLUS SME</t>
        </is>
      </c>
      <c r="G65" s="8" t="inlineStr">
        <is>
          <t>โอนไป KTB X3397 น.ส.ซารีย๊ะ มาแ++</t>
        </is>
      </c>
      <c r="H65" s="8" t="inlineStr">
        <is>
          <t>5200-ค่าแรงงาน/จ่ายออก</t>
        </is>
      </c>
      <c r="I65" s="8" t="inlineStr">
        <is>
          <t>🔴 รายจ่าย</t>
        </is>
      </c>
      <c r="J65" s="8" t="inlineStr"/>
      <c r="K65" s="8" t="inlineStr"/>
      <c r="L65" s="8" t="inlineStr">
        <is>
          <t>⏳ ยังไม่บันทึก</t>
        </is>
      </c>
    </row>
    <row r="66" ht="20" customHeight="1">
      <c r="A66" s="4" t="inlineStr">
        <is>
          <t>10-09-25</t>
        </is>
      </c>
      <c r="B66" s="4" t="inlineStr">
        <is>
          <t>ฝากด้วยเช็ค</t>
        </is>
      </c>
      <c r="C66" s="5" t="inlineStr"/>
      <c r="D66" s="6" t="n">
        <v>25757.01</v>
      </c>
      <c r="E66" s="6" t="n">
        <v>75310.07000000001</v>
      </c>
      <c r="F66" s="7" t="inlineStr">
        <is>
          <t>โอนเข้า/หักบัญชีอัตโนมัติ</t>
        </is>
      </c>
      <c r="G66" s="4" t="inlineStr">
        <is>
          <t>KTB 0920 เช็คเลขที่ 10162048</t>
        </is>
      </c>
      <c r="H66" s="4" t="inlineStr">
        <is>
          <t>1200-วัสดุก่อสร้างคงเหลือ</t>
        </is>
      </c>
      <c r="I66" s="4" t="inlineStr">
        <is>
          <t>🟡 รายรับ-เช็ค</t>
        </is>
      </c>
      <c r="J66" s="4" t="inlineStr"/>
      <c r="K66" s="4" t="inlineStr"/>
      <c r="L66" s="4" t="inlineStr">
        <is>
          <t>⏳ ยังไม่บันทึก</t>
        </is>
      </c>
    </row>
    <row r="67" ht="20" customHeight="1">
      <c r="A67" s="8" t="inlineStr">
        <is>
          <t>10-09-25</t>
        </is>
      </c>
      <c r="B67" s="8" t="inlineStr">
        <is>
          <t>ฝากด้วยเช็ค</t>
        </is>
      </c>
      <c r="C67" s="9" t="inlineStr"/>
      <c r="D67" s="10" t="n">
        <v>19416.82</v>
      </c>
      <c r="E67" s="10" t="n">
        <v>94726.89</v>
      </c>
      <c r="F67" s="11" t="inlineStr">
        <is>
          <t>โอนเข้า/หักบัญชีอัตโนมัติ</t>
        </is>
      </c>
      <c r="G67" s="8" t="inlineStr">
        <is>
          <t>KTB 0920 เช็คเลขที่ 10163235</t>
        </is>
      </c>
      <c r="H67" s="8" t="inlineStr">
        <is>
          <t>1200-วัสดุก่อสร้างคงเหลือ</t>
        </is>
      </c>
      <c r="I67" s="8" t="inlineStr">
        <is>
          <t>🟡 รายรับ-เช็ค</t>
        </is>
      </c>
      <c r="J67" s="8" t="inlineStr"/>
      <c r="K67" s="8" t="inlineStr"/>
      <c r="L67" s="8" t="inlineStr">
        <is>
          <t>⏳ ยังไม่บันทึก</t>
        </is>
      </c>
    </row>
    <row r="68" ht="20" customHeight="1">
      <c r="A68" s="4" t="inlineStr">
        <is>
          <t>23-09-25</t>
        </is>
      </c>
      <c r="B68" s="4" t="inlineStr">
        <is>
          <t>รับโอนเงิน</t>
        </is>
      </c>
      <c r="C68" s="5" t="inlineStr"/>
      <c r="D68" s="6" t="n">
        <v>606.6</v>
      </c>
      <c r="E68" s="6" t="n">
        <v>95333.49000000001</v>
      </c>
      <c r="F68" s="7" t="inlineStr">
        <is>
          <t>Internet/Mobile BBL</t>
        </is>
      </c>
      <c r="G68" s="4" t="inlineStr">
        <is>
          <t>จาก BBL X1100 MS ARUNYA NAKA++</t>
        </is>
      </c>
      <c r="H68" s="4" t="inlineStr">
        <is>
          <t>4100-รายได้รับเหมา</t>
        </is>
      </c>
      <c r="I68" s="4" t="inlineStr">
        <is>
          <t>🟢 รายรับ</t>
        </is>
      </c>
      <c r="J68" s="4" t="inlineStr"/>
      <c r="K68" s="4" t="inlineStr"/>
      <c r="L68" s="4" t="inlineStr">
        <is>
          <t>⏳ ยังไม่บันทึก</t>
        </is>
      </c>
    </row>
    <row r="69" ht="20" customHeight="1">
      <c r="A69" s="8" t="inlineStr">
        <is>
          <t>24-09-25</t>
        </is>
      </c>
      <c r="B69" s="8" t="inlineStr">
        <is>
          <t>ฝากด้วยเช็ค</t>
        </is>
      </c>
      <c r="C69" s="9" t="inlineStr"/>
      <c r="D69" s="10" t="n">
        <v>19416.82</v>
      </c>
      <c r="E69" s="10" t="n">
        <v>114750.31</v>
      </c>
      <c r="F69" s="11" t="inlineStr">
        <is>
          <t>โอนเข้า/หักบัญชีอัตโนมัติ</t>
        </is>
      </c>
      <c r="G69" s="8" t="inlineStr">
        <is>
          <t>KTB 0920 เช็คเลขที่ 10163251</t>
        </is>
      </c>
      <c r="H69" s="8" t="inlineStr">
        <is>
          <t>1200-วัสดุก่อสร้างคงเหลือ</t>
        </is>
      </c>
      <c r="I69" s="8" t="inlineStr">
        <is>
          <t>🟡 รายรับ-เช็ค</t>
        </is>
      </c>
      <c r="J69" s="8" t="inlineStr"/>
      <c r="K69" s="8" t="inlineStr"/>
      <c r="L69" s="8" t="inlineStr">
        <is>
          <t>⏳ ยังไม่บันทึก</t>
        </is>
      </c>
    </row>
    <row r="70" ht="20" customHeight="1">
      <c r="A70" s="4" t="inlineStr">
        <is>
          <t>24-09-25</t>
        </is>
      </c>
      <c r="B70" s="4" t="inlineStr">
        <is>
          <t>ฝากด้วยเช็ค</t>
        </is>
      </c>
      <c r="C70" s="5" t="inlineStr"/>
      <c r="D70" s="6" t="n">
        <v>25757.01</v>
      </c>
      <c r="E70" s="6" t="n">
        <v>140507.32</v>
      </c>
      <c r="F70" s="7" t="inlineStr">
        <is>
          <t>โอนเข้า/หักบัญชีอัตโนมัติ</t>
        </is>
      </c>
      <c r="G70" s="4" t="inlineStr">
        <is>
          <t>KTB 0920 เช็คเลขที่ 10162083</t>
        </is>
      </c>
      <c r="H70" s="4" t="inlineStr">
        <is>
          <t>1200-วัสดุก่อสร้างคงเหลือ</t>
        </is>
      </c>
      <c r="I70" s="4" t="inlineStr">
        <is>
          <t>🟡 รายรับ-เช็ค</t>
        </is>
      </c>
      <c r="J70" s="4" t="inlineStr"/>
      <c r="K70" s="4" t="inlineStr"/>
      <c r="L70" s="4" t="inlineStr">
        <is>
          <t>⏳ ยังไม่บันทึก</t>
        </is>
      </c>
    </row>
    <row r="71" ht="20" customHeight="1">
      <c r="A71" s="8" t="inlineStr">
        <is>
          <t>17-10-25</t>
        </is>
      </c>
      <c r="B71" s="8" t="inlineStr">
        <is>
          <t>ฝากด้วยเช็ค</t>
        </is>
      </c>
      <c r="C71" s="9" t="inlineStr"/>
      <c r="D71" s="10" t="n">
        <v>19416.82</v>
      </c>
      <c r="E71" s="10" t="n">
        <v>159924.14</v>
      </c>
      <c r="F71" s="11" t="inlineStr">
        <is>
          <t>โอนเข้า/หักบัญชีอัตโนมัติ</t>
        </is>
      </c>
      <c r="G71" s="8" t="inlineStr">
        <is>
          <t>KTB 0920 เช็คเลขที่ 10163287</t>
        </is>
      </c>
      <c r="H71" s="8" t="inlineStr">
        <is>
          <t>1200-วัสดุก่อสร้างคงเหลือ</t>
        </is>
      </c>
      <c r="I71" s="8" t="inlineStr">
        <is>
          <t>🟡 รายรับ-เช็ค</t>
        </is>
      </c>
      <c r="J71" s="8" t="inlineStr"/>
      <c r="K71" s="8" t="inlineStr"/>
      <c r="L71" s="8" t="inlineStr">
        <is>
          <t>⏳ ยังไม่บันทึก</t>
        </is>
      </c>
    </row>
    <row r="72" ht="20" customHeight="1">
      <c r="A72" s="4" t="inlineStr">
        <is>
          <t>17-10-25</t>
        </is>
      </c>
      <c r="B72" s="4" t="inlineStr">
        <is>
          <t>ฝากด้วยเช็ค</t>
        </is>
      </c>
      <c r="C72" s="5" t="inlineStr"/>
      <c r="D72" s="6" t="n">
        <v>25757.01</v>
      </c>
      <c r="E72" s="6" t="n">
        <v>185681.15</v>
      </c>
      <c r="F72" s="7" t="inlineStr">
        <is>
          <t>โอนเข้า/หักบัญชีอัตโนมัติ</t>
        </is>
      </c>
      <c r="G72" s="4" t="inlineStr">
        <is>
          <t>KTB 0920 เช็คเลขที่ 10162113</t>
        </is>
      </c>
      <c r="H72" s="4" t="inlineStr">
        <is>
          <t>1200-วัสดุก่อสร้างคงเหลือ</t>
        </is>
      </c>
      <c r="I72" s="4" t="inlineStr">
        <is>
          <t>🟡 รายรับ-เช็ค</t>
        </is>
      </c>
      <c r="J72" s="4" t="inlineStr"/>
      <c r="K72" s="4" t="inlineStr"/>
      <c r="L72" s="4" t="inlineStr">
        <is>
          <t>⏳ ยังไม่บันทึก</t>
        </is>
      </c>
    </row>
    <row r="73" ht="20" customHeight="1">
      <c r="A73" s="8" t="inlineStr">
        <is>
          <t>29-10-25</t>
        </is>
      </c>
      <c r="B73" s="8" t="inlineStr">
        <is>
          <t>โอนเงิน</t>
        </is>
      </c>
      <c r="C73" s="9" t="n">
        <v>175000</v>
      </c>
      <c r="D73" s="10" t="inlineStr"/>
      <c r="E73" s="10" t="n">
        <v>10681.15</v>
      </c>
      <c r="F73" s="11" t="inlineStr">
        <is>
          <t>สาขายะลา</t>
        </is>
      </c>
      <c r="G73" s="8" t="inlineStr">
        <is>
          <t>รหัสอ้างอิง K0701563</t>
        </is>
      </c>
      <c r="H73" s="8" t="inlineStr">
        <is>
          <t>5200-ค่าแรงงาน/จ่ายออก</t>
        </is>
      </c>
      <c r="I73" s="8" t="inlineStr">
        <is>
          <t>🔴 รายจ่าย</t>
        </is>
      </c>
      <c r="J73" s="8" t="inlineStr"/>
      <c r="K73" s="8" t="inlineStr"/>
      <c r="L73" s="8" t="inlineStr">
        <is>
          <t>⏳ ยังไม่บันทึก</t>
        </is>
      </c>
    </row>
    <row r="74" ht="20" customHeight="1">
      <c r="A74" s="4" t="inlineStr">
        <is>
          <t>17-11-25</t>
        </is>
      </c>
      <c r="B74" s="4" t="inlineStr">
        <is>
          <t>ฝากด้วยเช็ค</t>
        </is>
      </c>
      <c r="C74" s="5" t="inlineStr"/>
      <c r="D74" s="6" t="n">
        <v>5000</v>
      </c>
      <c r="E74" s="6" t="n">
        <v>15681.15</v>
      </c>
      <c r="F74" s="7" t="inlineStr">
        <is>
          <t>โอนเข้า/หักบัญชีอัตโนมัติ</t>
        </is>
      </c>
      <c r="G74" s="4" t="inlineStr">
        <is>
          <t>TTB 0118 เช็คเลขที่ 88050755</t>
        </is>
      </c>
      <c r="H74" s="4" t="inlineStr">
        <is>
          <t>1200-วัสดุก่อสร้างคงเหลือ</t>
        </is>
      </c>
      <c r="I74" s="4" t="inlineStr">
        <is>
          <t>🟡 รายรับ-เช็ค</t>
        </is>
      </c>
      <c r="J74" s="4" t="inlineStr"/>
      <c r="K74" s="4" t="inlineStr"/>
      <c r="L74" s="4" t="inlineStr">
        <is>
          <t>⏳ ยังไม่บันทึก</t>
        </is>
      </c>
    </row>
    <row r="75" ht="20" customHeight="1">
      <c r="A75" s="8" t="inlineStr">
        <is>
          <t>18-11-25</t>
        </is>
      </c>
      <c r="B75" s="8" t="inlineStr">
        <is>
          <t>ค่าธรรมเนียม</t>
        </is>
      </c>
      <c r="C75" s="9" t="n">
        <v>10</v>
      </c>
      <c r="D75" s="10" t="inlineStr"/>
      <c r="E75" s="10" t="n">
        <v>15671.15</v>
      </c>
      <c r="F75" s="11" t="inlineStr">
        <is>
          <t>โอนเข้า/หักบัญชีอัตโนมัติ</t>
        </is>
      </c>
      <c r="G75" s="8" t="inlineStr">
        <is>
          <t>Cheque Collection Fee TTB 0118 เช็คเลขที่ 88050755</t>
        </is>
      </c>
      <c r="H75" s="8" t="inlineStr">
        <is>
          <t>1200-วัสดุก่อสร้างคงเหลือ</t>
        </is>
      </c>
      <c r="I75" s="8" t="inlineStr">
        <is>
          <t>🟡 รายรับ-เช็ค</t>
        </is>
      </c>
      <c r="J75" s="8" t="inlineStr"/>
      <c r="K75" s="8" t="inlineStr"/>
      <c r="L75" s="8" t="inlineStr">
        <is>
          <t>⏳ ยังไม่บันทึก</t>
        </is>
      </c>
    </row>
    <row r="76" ht="20" customHeight="1">
      <c r="A76" s="4" t="inlineStr">
        <is>
          <t>19-11-25</t>
        </is>
      </c>
      <c r="B76" s="4" t="inlineStr">
        <is>
          <t>ฝากด้วยเช็ค</t>
        </is>
      </c>
      <c r="C76" s="5" t="inlineStr"/>
      <c r="D76" s="6" t="n">
        <v>25757.01</v>
      </c>
      <c r="E76" s="6" t="n">
        <v>41428.16</v>
      </c>
      <c r="F76" s="7" t="inlineStr">
        <is>
          <t>โอนเข้า/หักบัญชีอัตโนมัติ</t>
        </is>
      </c>
      <c r="G76" s="4" t="inlineStr">
        <is>
          <t>KTB 0920 เช็คเลขที่ 10171040</t>
        </is>
      </c>
      <c r="H76" s="4" t="inlineStr">
        <is>
          <t>1200-วัสดุก่อสร้างคงเหลือ</t>
        </is>
      </c>
      <c r="I76" s="4" t="inlineStr">
        <is>
          <t>🟡 รายรับ-เช็ค</t>
        </is>
      </c>
      <c r="J76" s="4" t="inlineStr"/>
      <c r="K76" s="4" t="inlineStr"/>
      <c r="L76" s="4" t="inlineStr">
        <is>
          <t>⏳ ยังไม่บันทึก</t>
        </is>
      </c>
    </row>
    <row r="77" ht="20" customHeight="1">
      <c r="A77" s="8" t="inlineStr">
        <is>
          <t>08-12-25</t>
        </is>
      </c>
      <c r="B77" s="8" t="inlineStr">
        <is>
          <t>ฝากด้วยเช็ค</t>
        </is>
      </c>
      <c r="C77" s="9" t="inlineStr"/>
      <c r="D77" s="10" t="n">
        <v>463626.17</v>
      </c>
      <c r="E77" s="10" t="n">
        <v>505054.33</v>
      </c>
      <c r="F77" s="11" t="inlineStr">
        <is>
          <t>โอนเข้า/หักบัญชีอัตโนมัติ</t>
        </is>
      </c>
      <c r="G77" s="8" t="inlineStr">
        <is>
          <t>BAAC 0333 เช็คเลขที่ 61771627</t>
        </is>
      </c>
      <c r="H77" s="8" t="inlineStr">
        <is>
          <t>1200-วัสดุก่อสร้างคงเหลือ</t>
        </is>
      </c>
      <c r="I77" s="8" t="inlineStr">
        <is>
          <t>🟡 รายรับ-เช็ค</t>
        </is>
      </c>
      <c r="J77" s="8" t="inlineStr"/>
      <c r="K77" s="8" t="inlineStr"/>
      <c r="L77" s="8" t="inlineStr">
        <is>
          <t>⏳ ยังไม่บันทึก</t>
        </is>
      </c>
    </row>
    <row r="78" ht="20" customHeight="1">
      <c r="A78" s="4" t="inlineStr">
        <is>
          <t>08-12-25</t>
        </is>
      </c>
      <c r="B78" s="4" t="inlineStr">
        <is>
          <t>ฝากด้วยเช็ค</t>
        </is>
      </c>
      <c r="C78" s="5" t="inlineStr"/>
      <c r="D78" s="6" t="n">
        <v>82440</v>
      </c>
      <c r="E78" s="6" t="n">
        <v>587494.33</v>
      </c>
      <c r="F78" s="7" t="inlineStr">
        <is>
          <t>โอนเข้า/หักบัญชีอัตโนมัติ</t>
        </is>
      </c>
      <c r="G78" s="4" t="inlineStr">
        <is>
          <t>BAAC 0770 เช็คเลขที่ 63956287</t>
        </is>
      </c>
      <c r="H78" s="4" t="inlineStr">
        <is>
          <t>1200-วัสดุก่อสร้างคงเหลือ</t>
        </is>
      </c>
      <c r="I78" s="4" t="inlineStr">
        <is>
          <t>🟡 รายรับ-เช็ค</t>
        </is>
      </c>
      <c r="J78" s="4" t="inlineStr"/>
      <c r="K78" s="4" t="inlineStr"/>
      <c r="L78" s="4" t="inlineStr">
        <is>
          <t>⏳ ยังไม่บันทึก</t>
        </is>
      </c>
    </row>
    <row r="79" ht="20" customHeight="1">
      <c r="A79" s="8" t="inlineStr">
        <is>
          <t>09-12-25</t>
        </is>
      </c>
      <c r="B79" s="8" t="inlineStr">
        <is>
          <t>ค่าธรรมเนียม</t>
        </is>
      </c>
      <c r="C79" s="9" t="n">
        <v>463.63</v>
      </c>
      <c r="D79" s="10" t="inlineStr"/>
      <c r="E79" s="10" t="n">
        <v>587030.7</v>
      </c>
      <c r="F79" s="11" t="inlineStr">
        <is>
          <t>โอนเข้า/หักบัญชีอัตโนมัติ</t>
        </is>
      </c>
      <c r="G79" s="8" t="inlineStr">
        <is>
          <t>Cheque Collection Fee BAAC 0333 เช็คเลขที่ 61771627</t>
        </is>
      </c>
      <c r="H79" s="8" t="inlineStr">
        <is>
          <t>1200-วัสดุก่อสร้างคงเหลือ</t>
        </is>
      </c>
      <c r="I79" s="8" t="inlineStr">
        <is>
          <t>🟡 รายรับ-เช็ค</t>
        </is>
      </c>
      <c r="J79" s="8" t="inlineStr"/>
      <c r="K79" s="8" t="inlineStr"/>
      <c r="L79" s="8" t="inlineStr">
        <is>
          <t>⏳ ยังไม่บันทึก</t>
        </is>
      </c>
    </row>
    <row r="80" ht="20" customHeight="1">
      <c r="A80" s="4" t="inlineStr">
        <is>
          <t>09-12-25</t>
        </is>
      </c>
      <c r="B80" s="4" t="inlineStr">
        <is>
          <t>ค่าธรรมเนียม</t>
        </is>
      </c>
      <c r="C80" s="5" t="n">
        <v>82.44</v>
      </c>
      <c r="D80" s="6" t="inlineStr"/>
      <c r="E80" s="6" t="n">
        <v>586948.26</v>
      </c>
      <c r="F80" s="7" t="inlineStr">
        <is>
          <t>โอนเข้า/หักบัญชีอัตโนมัติ</t>
        </is>
      </c>
      <c r="G80" s="4" t="inlineStr">
        <is>
          <t>Cheque Collection Fee BAAC 0770 เช็คเลขที่ 63956287</t>
        </is>
      </c>
      <c r="H80" s="4" t="inlineStr">
        <is>
          <t>1200-วัสดุก่อสร้างคงเหลือ</t>
        </is>
      </c>
      <c r="I80" s="4" t="inlineStr">
        <is>
          <t>🟡 รายรับ-เช็ค</t>
        </is>
      </c>
      <c r="J80" s="4" t="inlineStr"/>
      <c r="K80" s="4" t="inlineStr"/>
      <c r="L80" s="4" t="inlineStr">
        <is>
          <t>⏳ ยังไม่บันทึก</t>
        </is>
      </c>
    </row>
    <row r="81" ht="20" customHeight="1">
      <c r="A81" s="8" t="inlineStr">
        <is>
          <t>09-12-25</t>
        </is>
      </c>
      <c r="B81" s="8" t="inlineStr">
        <is>
          <t>โอนเงิน</t>
        </is>
      </c>
      <c r="C81" s="9" t="n">
        <v>580000</v>
      </c>
      <c r="D81" s="10" t="inlineStr"/>
      <c r="E81" s="10" t="n">
        <v>6948.26</v>
      </c>
      <c r="F81" s="11" t="inlineStr">
        <is>
          <t>K BIZ</t>
        </is>
      </c>
      <c r="G81" s="8" t="inlineStr">
        <is>
          <t>โอนไป KTB X3397 น.ส.ซารีย๊ะ มาแ++</t>
        </is>
      </c>
      <c r="H81" s="8" t="inlineStr">
        <is>
          <t>5200-ค่าแรงงาน/จ่ายออก</t>
        </is>
      </c>
      <c r="I81" s="8" t="inlineStr">
        <is>
          <t>🔴 รายจ่าย</t>
        </is>
      </c>
      <c r="J81" s="8" t="inlineStr"/>
      <c r="K81" s="8" t="inlineStr"/>
      <c r="L81" s="8" t="inlineStr">
        <is>
          <t>⏳ ยังไม่บันทึก</t>
        </is>
      </c>
    </row>
    <row r="82" ht="20" customHeight="1">
      <c r="A82" s="4" t="inlineStr">
        <is>
          <t>18-12-25</t>
        </is>
      </c>
      <c r="B82" s="4" t="inlineStr">
        <is>
          <t>ฝากด้วยเช็ค</t>
        </is>
      </c>
      <c r="C82" s="5" t="inlineStr"/>
      <c r="D82" s="6" t="n">
        <v>38833.64</v>
      </c>
      <c r="E82" s="6" t="n">
        <v>45781.9</v>
      </c>
      <c r="F82" s="7" t="inlineStr">
        <is>
          <t>โอนเข้า/หักบัญชีอัตโนมัติ</t>
        </is>
      </c>
      <c r="G82" s="4" t="inlineStr">
        <is>
          <t>KTB 0920 เช็คเลขที่ 10171934</t>
        </is>
      </c>
      <c r="H82" s="4" t="inlineStr">
        <is>
          <t>1200-วัสดุก่อสร้างคงเหลือ</t>
        </is>
      </c>
      <c r="I82" s="4" t="inlineStr">
        <is>
          <t>🟡 รายรับ-เช็ค</t>
        </is>
      </c>
      <c r="J82" s="4" t="inlineStr"/>
      <c r="K82" s="4" t="inlineStr"/>
      <c r="L82" s="4" t="inlineStr">
        <is>
          <t>⏳ ยังไม่บันทึก</t>
        </is>
      </c>
    </row>
    <row r="83" ht="20" customHeight="1">
      <c r="A83" s="8" t="inlineStr">
        <is>
          <t>19-12-25</t>
        </is>
      </c>
      <c r="B83" s="8" t="inlineStr">
        <is>
          <t>รับดอกเบี้ยเงินฝาก</t>
        </is>
      </c>
      <c r="C83" s="9" t="inlineStr"/>
      <c r="D83" s="10" t="n">
        <v>96.34</v>
      </c>
      <c r="E83" s="10" t="n">
        <v>45878.24</v>
      </c>
      <c r="F83" s="11" t="inlineStr">
        <is>
          <t>โอนเข้า/หักบัญชีอัตโนมัติ</t>
        </is>
      </c>
      <c r="G83" s="8" t="inlineStr">
        <is>
          <t>รหัสอ้างอิง PCB09400</t>
        </is>
      </c>
      <c r="H83" s="8" t="inlineStr">
        <is>
          <t>4100-รายได้รับเหมา</t>
        </is>
      </c>
      <c r="I83" s="8" t="inlineStr">
        <is>
          <t>🟢 รายรับ</t>
        </is>
      </c>
      <c r="J83" s="8" t="inlineStr"/>
      <c r="K83" s="8" t="inlineStr"/>
      <c r="L83" s="8" t="inlineStr">
        <is>
          <t>⏳ ยังไม่บันทึก</t>
        </is>
      </c>
    </row>
    <row r="84" ht="20" customHeight="1">
      <c r="A84" s="4" t="inlineStr">
        <is>
          <t>19-12-25</t>
        </is>
      </c>
      <c r="B84" s="4" t="inlineStr">
        <is>
          <t>ภาษีหัก ณ ที่จ่าย</t>
        </is>
      </c>
      <c r="C84" s="5" t="n">
        <v>0.96</v>
      </c>
      <c r="D84" s="6" t="inlineStr"/>
      <c r="E84" s="6" t="n">
        <v>45877.28</v>
      </c>
      <c r="F84" s="7" t="inlineStr">
        <is>
          <t>โอนเข้า/หักบัญชีอัตโนมัติ</t>
        </is>
      </c>
      <c r="G84" s="4" t="inlineStr">
        <is>
          <t>รหัสอ้างอิง PCB09400</t>
        </is>
      </c>
      <c r="H84" s="4" t="inlineStr">
        <is>
          <t>5200-ค่าแรงงาน/จ่ายออก</t>
        </is>
      </c>
      <c r="I84" s="4" t="inlineStr">
        <is>
          <t>🔴 รายจ่าย</t>
        </is>
      </c>
      <c r="J84" s="4" t="inlineStr"/>
      <c r="K84" s="4" t="inlineStr"/>
      <c r="L84" s="4" t="inlineStr">
        <is>
          <t>⏳ ยังไม่บันทึก</t>
        </is>
      </c>
    </row>
    <row r="85" ht="20" customHeight="1">
      <c r="A85" s="8" t="inlineStr">
        <is>
          <t>24-12-25</t>
        </is>
      </c>
      <c r="B85" s="8" t="inlineStr">
        <is>
          <t>ฝากด้วยเช็ค</t>
        </is>
      </c>
      <c r="C85" s="9" t="inlineStr"/>
      <c r="D85" s="10" t="n">
        <v>25757.01</v>
      </c>
      <c r="E85" s="10" t="n">
        <v>71634.28999999999</v>
      </c>
      <c r="F85" s="11" t="inlineStr">
        <is>
          <t>โอนเข้า/หักบัญชีอัตโนมัติ</t>
        </is>
      </c>
      <c r="G85" s="8" t="inlineStr">
        <is>
          <t>KTB 0920 เช็คเลขที่ 10171082</t>
        </is>
      </c>
      <c r="H85" s="8" t="inlineStr">
        <is>
          <t>1200-วัสดุก่อสร้างคงเหลือ</t>
        </is>
      </c>
      <c r="I85" s="8" t="inlineStr">
        <is>
          <t>🟡 รายรับ-เช็ค</t>
        </is>
      </c>
      <c r="J85" s="8" t="inlineStr"/>
      <c r="K85" s="8" t="inlineStr"/>
      <c r="L85" s="8" t="inlineStr">
        <is>
          <t>⏳ ยังไม่บันทึก</t>
        </is>
      </c>
    </row>
    <row r="86" ht="20" customHeight="1">
      <c r="A86" s="4" t="inlineStr">
        <is>
          <t>09-01-26</t>
        </is>
      </c>
      <c r="B86" s="4" t="inlineStr">
        <is>
          <t>โอนเงิน</t>
        </is>
      </c>
      <c r="C86" s="5" t="n">
        <v>25757</v>
      </c>
      <c r="D86" s="6" t="inlineStr"/>
      <c r="E86" s="6" t="n">
        <v>45877.29</v>
      </c>
      <c r="F86" s="7" t="inlineStr">
        <is>
          <t>K BIZ</t>
        </is>
      </c>
      <c r="G86" s="4" t="inlineStr">
        <is>
          <t>โอนไป KTB X3397 น.ส.ซารีย๊ะ มาแ++</t>
        </is>
      </c>
      <c r="H86" s="4" t="inlineStr">
        <is>
          <t>5200-ค่าแรงงาน/จ่ายออก</t>
        </is>
      </c>
      <c r="I86" s="4" t="inlineStr">
        <is>
          <t>🔴 รายจ่าย</t>
        </is>
      </c>
      <c r="J86" s="4" t="inlineStr"/>
      <c r="K86" s="4" t="inlineStr"/>
      <c r="L86" s="4" t="inlineStr">
        <is>
          <t>⏳ ยังไม่บันทึก</t>
        </is>
      </c>
    </row>
    <row r="87" ht="20" customHeight="1">
      <c r="A87" s="8" t="inlineStr">
        <is>
          <t>16-01-26</t>
        </is>
      </c>
      <c r="B87" s="8" t="inlineStr">
        <is>
          <t>โอนเงิน</t>
        </is>
      </c>
      <c r="C87" s="9" t="n">
        <v>40000</v>
      </c>
      <c r="D87" s="10" t="inlineStr"/>
      <c r="E87" s="10" t="n">
        <v>5877.29</v>
      </c>
      <c r="F87" s="11" t="inlineStr">
        <is>
          <t>K BIZ</t>
        </is>
      </c>
      <c r="G87" s="8" t="inlineStr">
        <is>
          <t>โอนไป KTB X6135 นายฟัรฮาน ดอเล++</t>
        </is>
      </c>
      <c r="H87" s="8" t="inlineStr">
        <is>
          <t>5200-ค่าแรงงาน/จ่ายออก</t>
        </is>
      </c>
      <c r="I87" s="8" t="inlineStr">
        <is>
          <t>🔴 รายจ่าย</t>
        </is>
      </c>
      <c r="J87" s="8" t="inlineStr"/>
      <c r="K87" s="8" t="inlineStr"/>
      <c r="L87" s="8" t="inlineStr">
        <is>
          <t>⏳ ยังไม่บันทึก</t>
        </is>
      </c>
    </row>
    <row r="88" ht="20" customHeight="1">
      <c r="A88" s="4" t="inlineStr">
        <is>
          <t>21-01-26</t>
        </is>
      </c>
      <c r="B88" s="4" t="inlineStr">
        <is>
          <t>ฝากด้วยเช็ค</t>
        </is>
      </c>
      <c r="C88" s="5" t="inlineStr"/>
      <c r="D88" s="6" t="n">
        <v>19416.82</v>
      </c>
      <c r="E88" s="6" t="n">
        <v>25294.11</v>
      </c>
      <c r="F88" s="7" t="inlineStr">
        <is>
          <t>โอนเข้า/หักบัญชีอัตโนมัติ</t>
        </is>
      </c>
      <c r="G88" s="4" t="inlineStr">
        <is>
          <t>KTB 0920 เช็คเลขที่ 10171965</t>
        </is>
      </c>
      <c r="H88" s="4" t="inlineStr">
        <is>
          <t>1200-วัสดุก่อสร้างคงเหลือ</t>
        </is>
      </c>
      <c r="I88" s="4" t="inlineStr">
        <is>
          <t>🟡 รายรับ-เช็ค</t>
        </is>
      </c>
      <c r="J88" s="4" t="inlineStr"/>
      <c r="K88" s="4" t="inlineStr"/>
      <c r="L88" s="4" t="inlineStr">
        <is>
          <t>⏳ ยังไม่บันทึก</t>
        </is>
      </c>
    </row>
    <row r="89" ht="20" customHeight="1">
      <c r="A89" s="8" t="inlineStr">
        <is>
          <t>09-01-26</t>
        </is>
      </c>
      <c r="B89" s="8" t="inlineStr">
        <is>
          <t>โอนเงิน</t>
        </is>
      </c>
      <c r="C89" s="9" t="n">
        <v>25757</v>
      </c>
      <c r="D89" s="10" t="inlineStr"/>
      <c r="E89" s="10" t="n">
        <v>45877.29</v>
      </c>
      <c r="F89" s="11" t="inlineStr">
        <is>
          <t>K BIZ</t>
        </is>
      </c>
      <c r="G89" s="8" t="inlineStr">
        <is>
          <t>โอนไป KTB X3397 น.ส.ซารีย๊ะ มาแ++</t>
        </is>
      </c>
      <c r="H89" s="8" t="inlineStr">
        <is>
          <t>5200-ค่าแรงงาน/จ่ายออก</t>
        </is>
      </c>
      <c r="I89" s="8" t="inlineStr">
        <is>
          <t>🔴 รายจ่าย</t>
        </is>
      </c>
      <c r="J89" s="8" t="inlineStr"/>
      <c r="K89" s="8" t="inlineStr"/>
      <c r="L89" s="8" t="inlineStr">
        <is>
          <t>⏳ ยังไม่บันทึก</t>
        </is>
      </c>
    </row>
    <row r="90" ht="20" customHeight="1">
      <c r="A90" s="4" t="inlineStr">
        <is>
          <t>16-01-26</t>
        </is>
      </c>
      <c r="B90" s="4" t="inlineStr">
        <is>
          <t>โอนเงิน</t>
        </is>
      </c>
      <c r="C90" s="5" t="n">
        <v>40000</v>
      </c>
      <c r="D90" s="6" t="inlineStr"/>
      <c r="E90" s="6" t="n">
        <v>5877.29</v>
      </c>
      <c r="F90" s="7" t="inlineStr">
        <is>
          <t>K BIZ</t>
        </is>
      </c>
      <c r="G90" s="4" t="inlineStr">
        <is>
          <t>โอนไป KTB X6135 นายฟัรฮาน ดอเล++</t>
        </is>
      </c>
      <c r="H90" s="4" t="inlineStr">
        <is>
          <t>5200-ค่าแรงงาน/จ่ายออก</t>
        </is>
      </c>
      <c r="I90" s="4" t="inlineStr">
        <is>
          <t>🔴 รายจ่าย</t>
        </is>
      </c>
      <c r="J90" s="4" t="inlineStr"/>
      <c r="K90" s="4" t="inlineStr"/>
      <c r="L90" s="4" t="inlineStr">
        <is>
          <t>⏳ ยังไม่บันทึก</t>
        </is>
      </c>
    </row>
    <row r="91" ht="20" customHeight="1">
      <c r="A91" s="8" t="inlineStr">
        <is>
          <t>21-01-26</t>
        </is>
      </c>
      <c r="B91" s="8" t="inlineStr">
        <is>
          <t>ฝากด้วยเช็ค</t>
        </is>
      </c>
      <c r="C91" s="9" t="inlineStr"/>
      <c r="D91" s="10" t="n">
        <v>19416.82</v>
      </c>
      <c r="E91" s="10" t="n">
        <v>25294.11</v>
      </c>
      <c r="F91" s="11" t="inlineStr">
        <is>
          <t>โอนเข้า/หักบัญชีอัตโนมัติ</t>
        </is>
      </c>
      <c r="G91" s="8" t="inlineStr">
        <is>
          <t>KTB 0920 เช็คเลขที่ 10171965</t>
        </is>
      </c>
      <c r="H91" s="8" t="inlineStr">
        <is>
          <t>1200-วัสดุก่อสร้างคงเหลือ</t>
        </is>
      </c>
      <c r="I91" s="8" t="inlineStr">
        <is>
          <t>🟡 รายรับ-เช็ค</t>
        </is>
      </c>
      <c r="J91" s="8" t="inlineStr"/>
      <c r="K91" s="8" t="inlineStr"/>
      <c r="L91" s="8" t="inlineStr">
        <is>
          <t>⏳ ยังไม่บันทึก</t>
        </is>
      </c>
    </row>
    <row r="92" ht="20" customHeight="1">
      <c r="A92" s="4" t="inlineStr">
        <is>
          <t>25-02-26</t>
        </is>
      </c>
      <c r="B92" s="4" t="inlineStr">
        <is>
          <t>ฝากด้วยเช็ค</t>
        </is>
      </c>
      <c r="C92" s="5" t="inlineStr"/>
      <c r="D92" s="6" t="n">
        <v>19416.82</v>
      </c>
      <c r="E92" s="6" t="n">
        <v>44710.93</v>
      </c>
      <c r="F92" s="7" t="inlineStr">
        <is>
          <t>โอนเข้า/หักบัญชีอัตโนมัติ</t>
        </is>
      </c>
      <c r="G92" s="4" t="inlineStr">
        <is>
          <t>KTB 0920 เช็คเลขที่ 10171994</t>
        </is>
      </c>
      <c r="H92" s="4" t="inlineStr">
        <is>
          <t>1200-วัสดุก่อสร้างคงเหลือ</t>
        </is>
      </c>
      <c r="I92" s="4" t="inlineStr">
        <is>
          <t>🟡 รายรับ-เช็ค</t>
        </is>
      </c>
      <c r="J92" s="4" t="inlineStr"/>
      <c r="K92" s="4" t="inlineStr"/>
      <c r="L92" s="4" t="inlineStr">
        <is>
          <t>⏳ ยังไม่บันทึก</t>
        </is>
      </c>
    </row>
    <row r="93" ht="20" customHeight="1">
      <c r="A93" s="8" t="inlineStr">
        <is>
          <t>25-02-26</t>
        </is>
      </c>
      <c r="B93" s="8" t="inlineStr">
        <is>
          <t>ฝากด้วยเช็ค</t>
        </is>
      </c>
      <c r="C93" s="9" t="inlineStr"/>
      <c r="D93" s="10" t="n">
        <v>7400</v>
      </c>
      <c r="E93" s="10" t="n">
        <v>52110.93</v>
      </c>
      <c r="F93" s="11" t="inlineStr">
        <is>
          <t>โอนเข้า/หักบัญชีอัตโนมัติ</t>
        </is>
      </c>
      <c r="G93" s="8" t="inlineStr">
        <is>
          <t>BAAC 0061 เช็คเลขที่ 63320612</t>
        </is>
      </c>
      <c r="H93" s="8" t="inlineStr">
        <is>
          <t>1200-วัสดุก่อสร้างคงเหลือ</t>
        </is>
      </c>
      <c r="I93" s="8" t="inlineStr">
        <is>
          <t>🟡 รายรับ-เช็ค</t>
        </is>
      </c>
      <c r="J93" s="8" t="inlineStr"/>
      <c r="K93" s="8" t="inlineStr"/>
      <c r="L93" s="8" t="inlineStr">
        <is>
          <t>⏳ ยังไม่บันทึก</t>
        </is>
      </c>
    </row>
    <row r="94">
      <c r="A94" s="12" t="inlineStr">
        <is>
          <t>รวม</t>
        </is>
      </c>
      <c r="C94" s="13">
        <f>SUM(C4:C93)</f>
        <v/>
      </c>
      <c r="D94" s="14">
        <f>SUM(D4:D93)</f>
        <v/>
      </c>
    </row>
  </sheetData>
  <mergeCells count="3">
    <mergeCell ref="A2:L2"/>
    <mergeCell ref="A1:L1"/>
    <mergeCell ref="A94:B9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6" customWidth="1" min="11" max="11"/>
    <col width="14" customWidth="1" min="12" max="12"/>
    <col width="16" customWidth="1" min="13" max="13"/>
    <col width="32" customWidth="1" min="14" max="14"/>
  </cols>
  <sheetData>
    <row r="1" ht="26" customHeight="1">
      <c r="A1" s="15" t="inlineStr">
        <is>
          <t>SKB — บันทึกรายจ่าย EXP รายเดือน (บิล ด.1–12)</t>
        </is>
      </c>
    </row>
    <row r="2">
      <c r="A2" s="16" t="inlineStr">
        <is>
          <t>📌 กรอกยอดรายจ่ายจากบิลแต่ละเดือน → บันทึกใน FlowAccount เป็น EXP แยกตามหมวด</t>
        </is>
      </c>
    </row>
    <row r="3" ht="32" customHeight="1">
      <c r="A3" s="17" t="inlineStr">
        <is>
          <t>เดือน</t>
        </is>
      </c>
      <c r="B3" s="17" t="inlineStr">
        <is>
          <t>บิลไฟล์
อ้างอิง</t>
        </is>
      </c>
      <c r="C3" s="17" t="inlineStr">
        <is>
          <t>วันที่
ออกเอกสาร</t>
        </is>
      </c>
      <c r="D3" s="17" t="inlineStr">
        <is>
          <t>วัสดุก่อสร้าง
(5100)</t>
        </is>
      </c>
      <c r="E3" s="17" t="inlineStr">
        <is>
          <t>ค่าแรงงาน
(5200)</t>
        </is>
      </c>
      <c r="F3" s="17" t="inlineStr">
        <is>
          <t>ค่าน้ำมัน
(5310)</t>
        </is>
      </c>
      <c r="G3" s="17" t="inlineStr">
        <is>
          <t>ซ่อมบำรุง
(6500)</t>
        </is>
      </c>
      <c r="H3" s="17" t="inlineStr">
        <is>
          <t>ค่าใช้จ่าย
อื่นๆ</t>
        </is>
      </c>
      <c r="I3" s="17" t="inlineStr">
        <is>
          <t>รวม
ยอดก่อน VAT</t>
        </is>
      </c>
      <c r="J3" s="17" t="inlineStr">
        <is>
          <t>VAT 7%</t>
        </is>
      </c>
      <c r="K3" s="17" t="inlineStr">
        <is>
          <t>รวมสุทธิ</t>
        </is>
      </c>
      <c r="L3" s="17" t="inlineStr">
        <is>
          <t>วิธีชำระ</t>
        </is>
      </c>
      <c r="M3" s="17" t="inlineStr">
        <is>
          <t>เลขที่เอกสาร</t>
        </is>
      </c>
      <c r="N3" s="17" t="inlineStr">
        <is>
          <t>ไฟล์แนบ</t>
        </is>
      </c>
    </row>
    <row r="4" ht="22" customHeight="1">
      <c r="A4" s="18" t="inlineStr">
        <is>
          <t>มกราคม 2568</t>
        </is>
      </c>
      <c r="B4" s="19" t="inlineStr">
        <is>
          <t>บิล ด.1.pdf</t>
        </is>
      </c>
      <c r="C4" s="20" t="inlineStr"/>
      <c r="D4" s="21" t="inlineStr"/>
      <c r="E4" s="21" t="inlineStr"/>
      <c r="F4" s="21" t="inlineStr"/>
      <c r="G4" s="21" t="inlineStr"/>
      <c r="H4" s="21" t="inlineStr"/>
      <c r="I4" s="22">
        <f>D4+E4+F4+G4+H4</f>
        <v/>
      </c>
      <c r="J4" s="22">
        <f>I4*0.07</f>
        <v/>
      </c>
      <c r="K4" s="23">
        <f>I4+J4</f>
        <v/>
      </c>
      <c r="L4" s="20" t="inlineStr"/>
      <c r="M4" s="20" t="inlineStr"/>
      <c r="N4" s="20" t="inlineStr">
        <is>
          <t>บิล ด.1.pdf</t>
        </is>
      </c>
    </row>
    <row r="5" ht="22" customHeight="1">
      <c r="A5" s="18" t="inlineStr">
        <is>
          <t>กุมภาพันธ์ 2568</t>
        </is>
      </c>
      <c r="B5" s="24" t="inlineStr">
        <is>
          <t>บิล ด.2.pdf</t>
        </is>
      </c>
      <c r="C5" s="25" t="inlineStr"/>
      <c r="D5" s="26" t="inlineStr"/>
      <c r="E5" s="26" t="inlineStr"/>
      <c r="F5" s="26" t="inlineStr"/>
      <c r="G5" s="26" t="inlineStr"/>
      <c r="H5" s="26" t="inlineStr"/>
      <c r="I5" s="22">
        <f>D5+E5+F5+G5+H5</f>
        <v/>
      </c>
      <c r="J5" s="22">
        <f>I5*0.07</f>
        <v/>
      </c>
      <c r="K5" s="23">
        <f>I5+J5</f>
        <v/>
      </c>
      <c r="L5" s="25" t="inlineStr"/>
      <c r="M5" s="25" t="inlineStr"/>
      <c r="N5" s="25" t="inlineStr">
        <is>
          <t>บิล ด.2.pdf</t>
        </is>
      </c>
    </row>
    <row r="6" ht="22" customHeight="1">
      <c r="A6" s="18" t="inlineStr">
        <is>
          <t>มีนาคม 2568</t>
        </is>
      </c>
      <c r="B6" s="19" t="inlineStr">
        <is>
          <t>บิล ด.3.pdf</t>
        </is>
      </c>
      <c r="C6" s="20" t="inlineStr"/>
      <c r="D6" s="21" t="inlineStr"/>
      <c r="E6" s="21" t="inlineStr"/>
      <c r="F6" s="21" t="inlineStr"/>
      <c r="G6" s="21" t="inlineStr"/>
      <c r="H6" s="21" t="inlineStr"/>
      <c r="I6" s="22">
        <f>D6+E6+F6+G6+H6</f>
        <v/>
      </c>
      <c r="J6" s="22">
        <f>I6*0.07</f>
        <v/>
      </c>
      <c r="K6" s="23">
        <f>I6+J6</f>
        <v/>
      </c>
      <c r="L6" s="20" t="inlineStr"/>
      <c r="M6" s="20" t="inlineStr"/>
      <c r="N6" s="20" t="inlineStr">
        <is>
          <t>บิล ด.3.pdf</t>
        </is>
      </c>
    </row>
    <row r="7" ht="22" customHeight="1">
      <c r="A7" s="18" t="inlineStr">
        <is>
          <t>เมษายน 2568</t>
        </is>
      </c>
      <c r="B7" s="24" t="inlineStr">
        <is>
          <t>บิล ด.4.pdf</t>
        </is>
      </c>
      <c r="C7" s="25" t="inlineStr"/>
      <c r="D7" s="26" t="inlineStr"/>
      <c r="E7" s="26" t="inlineStr"/>
      <c r="F7" s="26" t="inlineStr"/>
      <c r="G7" s="26" t="inlineStr"/>
      <c r="H7" s="26" t="inlineStr"/>
      <c r="I7" s="22">
        <f>D7+E7+F7+G7+H7</f>
        <v/>
      </c>
      <c r="J7" s="22">
        <f>I7*0.07</f>
        <v/>
      </c>
      <c r="K7" s="23">
        <f>I7+J7</f>
        <v/>
      </c>
      <c r="L7" s="25" t="inlineStr"/>
      <c r="M7" s="25" t="inlineStr"/>
      <c r="N7" s="25" t="inlineStr">
        <is>
          <t>บิล ด.4.pdf</t>
        </is>
      </c>
    </row>
    <row r="8" ht="22" customHeight="1">
      <c r="A8" s="18" t="inlineStr">
        <is>
          <t>พฤษภาคม 2568</t>
        </is>
      </c>
      <c r="B8" s="19" t="inlineStr">
        <is>
          <t>บิล ด.5.pdf</t>
        </is>
      </c>
      <c r="C8" s="20" t="inlineStr"/>
      <c r="D8" s="21" t="inlineStr"/>
      <c r="E8" s="21" t="inlineStr"/>
      <c r="F8" s="21" t="inlineStr"/>
      <c r="G8" s="21" t="inlineStr"/>
      <c r="H8" s="21" t="inlineStr"/>
      <c r="I8" s="22">
        <f>D8+E8+F8+G8+H8</f>
        <v/>
      </c>
      <c r="J8" s="22">
        <f>I8*0.07</f>
        <v/>
      </c>
      <c r="K8" s="23">
        <f>I8+J8</f>
        <v/>
      </c>
      <c r="L8" s="20" t="inlineStr"/>
      <c r="M8" s="20" t="inlineStr"/>
      <c r="N8" s="20" t="inlineStr">
        <is>
          <t>บิล ด.5.pdf</t>
        </is>
      </c>
    </row>
    <row r="9" ht="22" customHeight="1">
      <c r="A9" s="18" t="inlineStr">
        <is>
          <t>มิถุนายน 2568</t>
        </is>
      </c>
      <c r="B9" s="24" t="inlineStr">
        <is>
          <t>บิล ด.6.pdf</t>
        </is>
      </c>
      <c r="C9" s="25" t="inlineStr"/>
      <c r="D9" s="26" t="inlineStr"/>
      <c r="E9" s="26" t="inlineStr"/>
      <c r="F9" s="26" t="inlineStr"/>
      <c r="G9" s="26" t="inlineStr"/>
      <c r="H9" s="26" t="inlineStr"/>
      <c r="I9" s="22">
        <f>D9+E9+F9+G9+H9</f>
        <v/>
      </c>
      <c r="J9" s="22">
        <f>I9*0.07</f>
        <v/>
      </c>
      <c r="K9" s="23">
        <f>I9+J9</f>
        <v/>
      </c>
      <c r="L9" s="25" t="inlineStr"/>
      <c r="M9" s="25" t="inlineStr"/>
      <c r="N9" s="25" t="inlineStr">
        <is>
          <t>บิล ด.6.pdf</t>
        </is>
      </c>
    </row>
    <row r="10" ht="22" customHeight="1">
      <c r="A10" s="18" t="inlineStr">
        <is>
          <t>กรกฎาคม 2568</t>
        </is>
      </c>
      <c r="B10" s="19" t="inlineStr">
        <is>
          <t>บิล ด.7.pdf</t>
        </is>
      </c>
      <c r="C10" s="20" t="inlineStr"/>
      <c r="D10" s="21" t="inlineStr"/>
      <c r="E10" s="21" t="inlineStr"/>
      <c r="F10" s="21" t="inlineStr"/>
      <c r="G10" s="21" t="inlineStr"/>
      <c r="H10" s="21" t="inlineStr"/>
      <c r="I10" s="22">
        <f>D10+E10+F10+G10+H10</f>
        <v/>
      </c>
      <c r="J10" s="22">
        <f>I10*0.07</f>
        <v/>
      </c>
      <c r="K10" s="23">
        <f>I10+J10</f>
        <v/>
      </c>
      <c r="L10" s="20" t="inlineStr"/>
      <c r="M10" s="20" t="inlineStr"/>
      <c r="N10" s="20" t="inlineStr">
        <is>
          <t>บิล ด.7.pdf</t>
        </is>
      </c>
    </row>
    <row r="11" ht="22" customHeight="1">
      <c r="A11" s="18" t="inlineStr">
        <is>
          <t>สิงหาคม 2568</t>
        </is>
      </c>
      <c r="B11" s="24" t="inlineStr">
        <is>
          <t>—</t>
        </is>
      </c>
      <c r="C11" s="25" t="inlineStr"/>
      <c r="D11" s="26" t="inlineStr"/>
      <c r="E11" s="26" t="inlineStr"/>
      <c r="F11" s="26" t="inlineStr"/>
      <c r="G11" s="26" t="inlineStr"/>
      <c r="H11" s="26" t="inlineStr"/>
      <c r="I11" s="22">
        <f>D11+E11+F11+G11+H11</f>
        <v/>
      </c>
      <c r="J11" s="22">
        <f>I11*0.07</f>
        <v/>
      </c>
      <c r="K11" s="23">
        <f>I11+J11</f>
        <v/>
      </c>
      <c r="L11" s="25" t="inlineStr"/>
      <c r="M11" s="25" t="inlineStr"/>
      <c r="N11" s="25" t="inlineStr">
        <is>
          <t>—</t>
        </is>
      </c>
    </row>
    <row r="12" ht="22" customHeight="1">
      <c r="A12" s="18" t="inlineStr">
        <is>
          <t>กันยายน 2568</t>
        </is>
      </c>
      <c r="B12" s="19" t="inlineStr">
        <is>
          <t>บิล ด.9.pdf</t>
        </is>
      </c>
      <c r="C12" s="20" t="inlineStr"/>
      <c r="D12" s="21" t="inlineStr"/>
      <c r="E12" s="21" t="inlineStr"/>
      <c r="F12" s="21" t="inlineStr"/>
      <c r="G12" s="21" t="inlineStr"/>
      <c r="H12" s="21" t="inlineStr"/>
      <c r="I12" s="22">
        <f>D12+E12+F12+G12+H12</f>
        <v/>
      </c>
      <c r="J12" s="22">
        <f>I12*0.07</f>
        <v/>
      </c>
      <c r="K12" s="23">
        <f>I12+J12</f>
        <v/>
      </c>
      <c r="L12" s="20" t="inlineStr"/>
      <c r="M12" s="20" t="inlineStr"/>
      <c r="N12" s="20" t="inlineStr">
        <is>
          <t>บิล ด.9.pdf</t>
        </is>
      </c>
    </row>
    <row r="13" ht="22" customHeight="1">
      <c r="A13" s="18" t="inlineStr">
        <is>
          <t>ตุลาคม 2568</t>
        </is>
      </c>
      <c r="B13" s="24" t="inlineStr">
        <is>
          <t>—</t>
        </is>
      </c>
      <c r="C13" s="25" t="inlineStr"/>
      <c r="D13" s="26" t="inlineStr"/>
      <c r="E13" s="26" t="inlineStr"/>
      <c r="F13" s="26" t="inlineStr"/>
      <c r="G13" s="26" t="inlineStr"/>
      <c r="H13" s="26" t="inlineStr"/>
      <c r="I13" s="22">
        <f>D13+E13+F13+G13+H13</f>
        <v/>
      </c>
      <c r="J13" s="22">
        <f>I13*0.07</f>
        <v/>
      </c>
      <c r="K13" s="23">
        <f>I13+J13</f>
        <v/>
      </c>
      <c r="L13" s="25" t="inlineStr"/>
      <c r="M13" s="25" t="inlineStr"/>
      <c r="N13" s="25" t="inlineStr">
        <is>
          <t>—</t>
        </is>
      </c>
    </row>
    <row r="14" ht="22" customHeight="1">
      <c r="A14" s="18" t="inlineStr">
        <is>
          <t>พฤศจิกายน 2568</t>
        </is>
      </c>
      <c r="B14" s="19" t="inlineStr">
        <is>
          <t>บิล ด.11.pdf</t>
        </is>
      </c>
      <c r="C14" s="20" t="inlineStr"/>
      <c r="D14" s="21" t="inlineStr"/>
      <c r="E14" s="21" t="inlineStr"/>
      <c r="F14" s="21" t="inlineStr"/>
      <c r="G14" s="21" t="inlineStr"/>
      <c r="H14" s="21" t="inlineStr"/>
      <c r="I14" s="22">
        <f>D14+E14+F14+G14+H14</f>
        <v/>
      </c>
      <c r="J14" s="22">
        <f>I14*0.07</f>
        <v/>
      </c>
      <c r="K14" s="23">
        <f>I14+J14</f>
        <v/>
      </c>
      <c r="L14" s="20" t="inlineStr"/>
      <c r="M14" s="20" t="inlineStr"/>
      <c r="N14" s="20" t="inlineStr">
        <is>
          <t>บิล ด.11.pdf</t>
        </is>
      </c>
    </row>
    <row r="15" ht="22" customHeight="1">
      <c r="A15" s="18" t="inlineStr">
        <is>
          <t>ธันวาคม 2568</t>
        </is>
      </c>
      <c r="B15" s="24" t="inlineStr">
        <is>
          <t>บิล ด.12.pdf</t>
        </is>
      </c>
      <c r="C15" s="25" t="inlineStr"/>
      <c r="D15" s="26" t="inlineStr"/>
      <c r="E15" s="26" t="inlineStr"/>
      <c r="F15" s="26" t="inlineStr"/>
      <c r="G15" s="26" t="inlineStr"/>
      <c r="H15" s="26" t="inlineStr"/>
      <c r="I15" s="22">
        <f>D15+E15+F15+G15+H15</f>
        <v/>
      </c>
      <c r="J15" s="22">
        <f>I15*0.07</f>
        <v/>
      </c>
      <c r="K15" s="23">
        <f>I15+J15</f>
        <v/>
      </c>
      <c r="L15" s="25" t="inlineStr"/>
      <c r="M15" s="25" t="inlineStr"/>
      <c r="N15" s="25" t="inlineStr">
        <is>
          <t>บิล ด.12.pdf</t>
        </is>
      </c>
    </row>
    <row r="16">
      <c r="A16" s="27" t="inlineStr">
        <is>
          <t>รวมทั้งปี</t>
        </is>
      </c>
      <c r="D16" s="28">
        <f>SUM(D4:D15)</f>
        <v/>
      </c>
      <c r="E16" s="28">
        <f>SUM(E4:E15)</f>
        <v/>
      </c>
      <c r="F16" s="28">
        <f>SUM(F4:F15)</f>
        <v/>
      </c>
      <c r="G16" s="28">
        <f>SUM(G4:G15)</f>
        <v/>
      </c>
      <c r="H16" s="28">
        <f>SUM(H4:H15)</f>
        <v/>
      </c>
      <c r="I16" s="28">
        <f>SUM(I4:I15)</f>
        <v/>
      </c>
      <c r="J16" s="28">
        <f>SUM(J4:J15)</f>
        <v/>
      </c>
      <c r="K16" s="28">
        <f>SUM(K4:K15)</f>
        <v/>
      </c>
    </row>
  </sheetData>
  <mergeCells count="3">
    <mergeCell ref="A16:C16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55" customWidth="1" min="3" max="3"/>
  </cols>
  <sheetData>
    <row r="1" ht="24" customHeight="1">
      <c r="B1" s="29" t="inlineStr">
        <is>
          <t>SKB FlowAccount Template — วิธีใช้</t>
        </is>
      </c>
    </row>
    <row r="2" ht="18" customHeight="1">
      <c r="B2" s="30" t="inlineStr"/>
    </row>
    <row r="3" ht="18" customHeight="1">
      <c r="B3" s="31" t="inlineStr">
        <is>
          <t>Sheet 1: Bank Statement SKB</t>
        </is>
      </c>
    </row>
    <row r="4" ht="18" customHeight="1">
      <c r="B4" s="32" t="inlineStr">
        <is>
          <t>• ข้อมูลจาก K-BIZ Statement บัญชี 127-3-33153-7</t>
        </is>
      </c>
    </row>
    <row r="5" ht="18" customHeight="1">
      <c r="B5" s="30" t="inlineStr">
        <is>
          <t>• บันทึกใน FlowAccount: รายรับ = INV, รายจ่าย = EXP</t>
        </is>
      </c>
    </row>
    <row r="6" ht="18" customHeight="1">
      <c r="B6" s="32" t="inlineStr">
        <is>
          <t>• กรอกคอลัมน์ K (เลขที่เอกสาร) และ L (สถานะ) หลังบันทึก</t>
        </is>
      </c>
    </row>
    <row r="7" ht="18" customHeight="1">
      <c r="B7" s="30" t="inlineStr"/>
    </row>
    <row r="8" ht="18" customHeight="1">
      <c r="B8" s="33" t="inlineStr">
        <is>
          <t>Sheet 2: บิล รายเดือน EXP</t>
        </is>
      </c>
    </row>
    <row r="9" ht="18" customHeight="1">
      <c r="B9" s="32" t="inlineStr">
        <is>
          <t>• เปิดบิล ด.X.pdf → รวมยอดรายจ่ายแต่ละหมวด → กรอกคอลัมน์ D-H</t>
        </is>
      </c>
    </row>
    <row r="10" ht="18" customHeight="1">
      <c r="B10" s="30" t="inlineStr">
        <is>
          <t>• หมวดหมู่บัญชี: 5100=วัสดุ, 5200=แรงงาน, 5310=น้ำมัน, 6500=ซ่อมบำรุง</t>
        </is>
      </c>
    </row>
    <row r="11" ht="18" customHeight="1">
      <c r="B11" s="32" t="inlineStr">
        <is>
          <t>• ยอดสุทธิ (คอลัมน์ K) คำนวณอัตโนมัติ</t>
        </is>
      </c>
    </row>
    <row r="12" ht="18" customHeight="1">
      <c r="B12" s="34" t="inlineStr">
        <is>
          <t>• บิล ด.8 และ ด.10 ไม่มีไฟล์ (อาจยังไม่ได้รับ)</t>
        </is>
      </c>
    </row>
    <row r="13" ht="18" customHeight="1">
      <c r="B13" s="30" t="inlineStr"/>
    </row>
    <row r="14" ht="18" customHeight="1">
      <c r="B14" s="31" t="inlineStr">
        <is>
          <t>โปรเจคที่บริหาร</t>
        </is>
      </c>
    </row>
    <row r="15" ht="18" customHeight="1">
      <c r="B15" s="35" t="inlineStr">
        <is>
          <t>1. อาคารสำนักงาน อบต.บันนังสาเรงแห่งใหม่ — สัญญา 5/2568 — มูลค่า 19,040,000 THB</t>
        </is>
      </c>
    </row>
    <row r="16" ht="18" customHeight="1">
      <c r="B16" s="30" t="inlineStr">
        <is>
          <t>2. ปรับปรุงระบบระบายน้ำ ชุมชนนัดโตีะโมง ยะลา — สัญญา 109/2568 — มูลค่า 17,845,000 THB</t>
        </is>
      </c>
    </row>
    <row r="17" ht="18" customHeight="1">
      <c r="B17" s="31" t="inlineStr">
        <is>
          <t>บัญชีธนาคาร</t>
        </is>
      </c>
    </row>
    <row r="18" ht="18" customHeight="1">
      <c r="B18" s="32" t="inlineStr">
        <is>
          <t>KBank สาขายะลา — 127-3-33153-7 (บจก. สกาย บลู คอนสตรัคชั่น)</t>
        </is>
      </c>
    </row>
  </sheetData>
  <mergeCells count="18">
    <mergeCell ref="B13:C13"/>
    <mergeCell ref="B6:C6"/>
    <mergeCell ref="B2:C2"/>
    <mergeCell ref="B16:C16"/>
    <mergeCell ref="B15:C15"/>
    <mergeCell ref="B7:C7"/>
    <mergeCell ref="B11:C11"/>
    <mergeCell ref="B3:C3"/>
    <mergeCell ref="B5:C5"/>
    <mergeCell ref="B10:C10"/>
    <mergeCell ref="B14:C14"/>
    <mergeCell ref="B17:C17"/>
    <mergeCell ref="B9:C9"/>
    <mergeCell ref="B1:C1"/>
    <mergeCell ref="B8:C8"/>
    <mergeCell ref="B4:C4"/>
    <mergeCell ref="B18:C1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2026-03-20T19:54:00Z</dcterms:created>
  <dcterms:modified xmlns:dcterms="http://purl.org/dc/terms/" xmlns:xsi="http://www.w3.org/2001/XMLSchema-instance" xsi:type="dcterms:W3CDTF">2026-03-20T19:54:00Z</dcterms:modified>
</cp:coreProperties>
</file>