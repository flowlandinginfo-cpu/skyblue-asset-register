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✅ Checklist" sheetId="1" state="visible" r:id="rId3"/>
    <sheet name="💼 บันนังสาเรง" sheetId="2" state="visible" r:id="rId4"/>
    <sheet name="💼 ระบายน้ำยะลา" sheetId="3" state="visible" r:id="rId5"/>
    <sheet name="🧾 ติดตามภาษีรายเดือน" sheetId="4" state="visible" r:id="rId6"/>
    <sheet name="🔁 รายจ่ายประจำ" sheetId="5" state="visible" r:id="rId7"/>
    <sheet name="🏗️ ทะเบียนทรัพย์สิน" sheetId="6" state="visible" r:id="rId8"/>
    <sheet name="📊 ผังบัญชี FlowAccoun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<sst xmlns="http://schemas.openxmlformats.org/spreadsheetml/2006/main" count="871" uniqueCount="404">
  <si>
    <t xml:space="preserve">📋 SKY BLUE CONSTRUCTION — Checklist รายการที่ฝ่ายบัญชีต้องเตรียมส่ง</t>
  </si>
  <si>
    <t xml:space="preserve">กรอก ✅ / ⏳ / ❌ ในคอลัมน์ G | ส่งให้ทีม FlowLanding ภายในวันที่นัดหมาย | แนบไฟล์ดิจิทัลเท่านั้น</t>
  </si>
  <si>
    <t xml:space="preserve">#</t>
  </si>
  <si>
    <t xml:space="preserve">ลำดับ
ย่อย</t>
  </si>
  <si>
    <t xml:space="preserve">ความ
สำคัญ</t>
  </si>
  <si>
    <t xml:space="preserve">รายการที่ต้องเตรียม</t>
  </si>
  <si>
    <t xml:space="preserve">รูปแบบ
ไฟล์</t>
  </si>
  <si>
    <t xml:space="preserve">ช่วงเวลา</t>
  </si>
  <si>
    <t xml:space="preserve">สถานะ</t>
  </si>
  <si>
    <t xml:space="preserve">หมายเหตุ</t>
  </si>
  <si>
    <t xml:space="preserve">══ A. เอกสารบริษัท ══</t>
  </si>
  <si>
    <t xml:space="preserve">A</t>
  </si>
  <si>
    <t xml:space="preserve">1</t>
  </si>
  <si>
    <t xml:space="preserve">🔴 สำคัญมาก</t>
  </si>
  <si>
    <t xml:space="preserve">หนังสือรับรองบริษัท (อายุไม่เกิน 3 เดือน)</t>
  </si>
  <si>
    <t xml:space="preserve">PDF</t>
  </si>
  <si>
    <t xml:space="preserve">ปัจจุบัน</t>
  </si>
  <si>
    <t xml:space="preserve">⏳</t>
  </si>
  <si>
    <t xml:space="preserve">2</t>
  </si>
  <si>
    <t xml:space="preserve">ใบทะเบียนภาษีมูลค่าเพิ่ม ภ.พ.20</t>
  </si>
  <si>
    <t xml:space="preserve">3</t>
  </si>
  <si>
    <t xml:space="preserve">รายชื่อผู้ถือหุ้น บอจ.5</t>
  </si>
  <si>
    <t xml:space="preserve">ล่าสุด</t>
  </si>
  <si>
    <t xml:space="preserve">4</t>
  </si>
  <si>
    <t xml:space="preserve">ข้อมูลบัญชีธนาคารบริษัท (ทุกบัญชี): ธนาคาร เลขบัญชี ชื่อบัญชี ใช้เพื่ออะไร</t>
  </si>
  <si>
    <t xml:space="preserve">Excel</t>
  </si>
  <si>
    <t xml:space="preserve">══ B. สัญญาและรายรับโปรเจค ══</t>
  </si>
  <si>
    <t xml:space="preserve">B</t>
  </si>
  <si>
    <t xml:space="preserve">สำเนาสัญญาจ้างทุกโปรเจค (ฉบับเต็ม พร้อมงวดงาน)</t>
  </si>
  <si>
    <t xml:space="preserve">ทุกโปรเจค</t>
  </si>
  <si>
    <t xml:space="preserve">รวม 2 โปรเจคปัจจุบัน</t>
  </si>
  <si>
    <t xml:space="preserve">ใบวางบิล/ใบแจ้งหนี้ที่ส่งภาครัฐแต่ละงวด</t>
  </si>
  <si>
    <t xml:space="preserve">12 เดือน</t>
  </si>
  <si>
    <t xml:space="preserve">แยกตามโปรเจค แยกตามงวด</t>
  </si>
  <si>
    <t xml:space="preserve">หลักฐานรับเงินจากภาครัฐ (โอนเข้า Bank)</t>
  </si>
  <si>
    <t xml:space="preserve">🟡 สำคัญ</t>
  </si>
  <si>
    <t xml:space="preserve">รายการงวดงานส่งแล้วแต่ยังไม่รับเงิน (Pending)</t>
  </si>
  <si>
    <t xml:space="preserve">ระบุ: วันส่งงาน ยอด วันคาดรับเงิน</t>
  </si>
  <si>
    <t xml:space="preserve">══ C. รายจ่ายโปรเจค ══</t>
  </si>
  <si>
    <t xml:space="preserve">C</t>
  </si>
  <si>
    <t xml:space="preserve">ใบเสร็จ/ใบกำกับภาษีค่าวัสดุก่อสร้างทั้งหมด</t>
  </si>
  <si>
    <t xml:space="preserve">PDF/Excel</t>
  </si>
  <si>
    <t xml:space="preserve">แยกตามโปรเจค</t>
  </si>
  <si>
    <t xml:space="preserve">รายการจ่ายค่าแรงงาน (ระบุ: ชื่อ จำนวนวัน อัตรา ยอด)</t>
  </si>
  <si>
    <t xml:space="preserve">ค่าเช่าเครื่องจักร/รถ (ถ้ามี) พร้อมใบเสร็จ</t>
  </si>
  <si>
    <t xml:space="preserve">ค่าขนส่งวัสดุก่อสร้าง</t>
  </si>
  <si>
    <t xml:space="preserve">5</t>
  </si>
  <si>
    <t xml:space="preserve">ค่าน้ำมันรถ/เครื่องจักร (หน้างาน)</t>
  </si>
  <si>
    <t xml:space="preserve">══ D. รายจ่ายประจำบริษัท ══</t>
  </si>
  <si>
    <t xml:space="preserve">D</t>
  </si>
  <si>
    <t xml:space="preserve">รายการเงินเดือนพนักงาน (ทุกคน พร้อมอัตรา)</t>
  </si>
  <si>
    <t xml:space="preserve">ค่าเช่าสำนักงาน/พื้นที่จอดรถ-เครื่องจักร</t>
  </si>
  <si>
    <t xml:space="preserve">ค่าโทรศัพท์/อินเทอร์เน็ต</t>
  </si>
  <si>
    <t xml:space="preserve">ค่าบำรุงรักษา/ซ่อมรถและเครื่องจักร</t>
  </si>
  <si>
    <t xml:space="preserve">ค่าทำบัญชี (สำนักงานบัญชี ถ้ามี)</t>
  </si>
  <si>
    <t xml:space="preserve">6</t>
  </si>
  <si>
    <t xml:space="preserve">ค่า Leasing รถ/เครื่องจักร (ยอดงวดรายเดือน)</t>
  </si>
  <si>
    <t xml:space="preserve">══ E. ภาษี ══</t>
  </si>
  <si>
    <t xml:space="preserve">E</t>
  </si>
  <si>
    <t xml:space="preserve">ภ.พ.30 (VAT รายเดือน) ทุกเดือน พร้อมระบุสถานะยื่น</t>
  </si>
  <si>
    <t xml:space="preserve">ภ.ง.ด.3 และ ภ.ง.ด.53 (หัก ณ ที่จ่าย)</t>
  </si>
  <si>
    <t xml:space="preserve">ภ.ง.ด.50 (ภาษีเงินได้นิติบุคคลประจำปี)</t>
  </si>
  <si>
    <t xml:space="preserve">ปีล่าสุด</t>
  </si>
  <si>
    <t xml:space="preserve">ถ้ายังไม่ยื่นให้ระบุ</t>
  </si>
  <si>
    <t xml:space="preserve">งบการเงินปีล่าสุด (ถ้าผ่านการตรวจสอบแล้ว)</t>
  </si>
  <si>
    <t xml:space="preserve">══ F. Bank Statement ══</t>
  </si>
  <si>
    <t xml:space="preserve">F</t>
  </si>
  <si>
    <t xml:space="preserve">Statement บัญชีธนาคารบริษัท ทุกบัญชี</t>
  </si>
  <si>
    <t xml:space="preserve">Statement บัญชีส่วนตัว (เฉพาะรายการที่ใช้เพื่อบริษัท)</t>
  </si>
  <si>
    <t xml:space="preserve">══ G. ทรัพย์สินบริษัท ══</t>
  </si>
  <si>
    <t xml:space="preserve">G</t>
  </si>
  <si>
    <t xml:space="preserve">กรอกทะเบียนทรัพย์สินใน Sheet 🏗️ ทะเบียนทรัพย์สิน</t>
  </si>
  <si>
    <t xml:space="preserve">รถ เครื่องจักร อุปกรณ์ ครุภัณฑ์ทั้งหมด</t>
  </si>
  <si>
    <t xml:space="preserve">สำเนาทะเบียนรถทุกคัน</t>
  </si>
  <si>
    <t xml:space="preserve">ใบประกันภัยรถ/เครื่องจักร พร้อมวันหมดอายุ</t>
  </si>
  <si>
    <t xml:space="preserve">สัญญา Leasing เครื่องจักร/รถ (ถ้ามี) พร้อมยอดค้างผ่อน</t>
  </si>
  <si>
    <t xml:space="preserve">══ H. ลูกหนี้ / เจ้าหนี้ ══</t>
  </si>
  <si>
    <t xml:space="preserve">H</t>
  </si>
  <si>
    <t xml:space="preserve">รายการลูกหนี้ค้างชำระ: ภาครัฐค้างจ่ายงวดไหน ยอดเท่าไหร่</t>
  </si>
  <si>
    <t xml:space="preserve">รายการเจ้าหนี้ค้างชำระ: ค้างจ่ายซัพพลายเออร์ ยอดรวม</t>
  </si>
  <si>
    <t xml:space="preserve">สัญญาเงินกู้บริษัท (ถ้ามี): ยอดคงค้าง ดอกเบี้ย งวด</t>
  </si>
  <si>
    <t xml:space="preserve">📅 ช่วงเวลา 12 เดือน = มีนาคม 2568 — มีนาคม 2569 | 🔴 สำคัญมาก ต้องมีก่อนเปิดระบบ | 🟡 สำคัญ ช่วยให้ข้อมูลสมบูรณ์</t>
  </si>
  <si>
    <t xml:space="preserve">💼 อาคารสำนักงาน อบต.บันนังสาเรงแห่งใหม่</t>
  </si>
  <si>
    <t xml:space="preserve">เลขที่สัญญา:</t>
  </si>
  <si>
    <t xml:space="preserve">5/2568</t>
  </si>
  <si>
    <t xml:space="preserve">มูลค่าสัญญา:</t>
  </si>
  <si>
    <t xml:space="preserve">฿19,040,000</t>
  </si>
  <si>
    <t xml:space="preserve">วันที่เริ่ม:</t>
  </si>
  <si>
    <t xml:space="preserve">23 ม.ค. 2568</t>
  </si>
  <si>
    <t xml:space="preserve">คู่สัญญา:</t>
  </si>
  <si>
    <t xml:space="preserve">ส่วนราชการ อบต.บันนังสาเรง</t>
  </si>
  <si>
    <t xml:space="preserve">📊 สรุปโปรเจค (อัตโนมัติ)</t>
  </si>
  <si>
    <t xml:space="preserve">วันที่
(ว/ด/ป)</t>
  </si>
  <si>
    <t xml:space="preserve">เดือน</t>
  </si>
  <si>
    <t xml:space="preserve">งวดที่
(ถ้ามี)</t>
  </si>
  <si>
    <t xml:space="preserve">รายการ / รายละเอียด</t>
  </si>
  <si>
    <t xml:space="preserve">หมวดบัญชี
(รหัส FlowAccount)</t>
  </si>
  <si>
    <t xml:space="preserve">ประเภท</t>
  </si>
  <si>
    <t xml:space="preserve">ยอดก่อน VAT
(บาท)</t>
  </si>
  <si>
    <t xml:space="preserve">VAT 7%
(บาท)</t>
  </si>
  <si>
    <t xml:space="preserve">ยอดสุทธิ
(บาท)</t>
  </si>
  <si>
    <t xml:space="preserve">หัก ณ ที่จ่าย
(บาท)</t>
  </si>
  <si>
    <t xml:space="preserve">ยอดรับ/จ่าย
จริง (บาท)</t>
  </si>
  <si>
    <t xml:space="preserve">ช่องทาง
ชำระ</t>
  </si>
  <si>
    <t xml:space="preserve">สถานะ
ภาษี</t>
  </si>
  <si>
    <t xml:space="preserve">เลขที่เอกสาร</t>
  </si>
  <si>
    <t xml:space="preserve">รับเงินงวดที่ 1 (25% ตามสัญญา)</t>
  </si>
  <si>
    <t xml:space="preserve">4100-รายได้รับเหมา</t>
  </si>
  <si>
    <t xml:space="preserve">🟢 รายรับ</t>
  </si>
  <si>
    <t xml:space="preserve">โอนธนาคาร</t>
  </si>
  <si>
    <t xml:space="preserve">✅ ยื่นแล้ว</t>
  </si>
  <si>
    <t xml:space="preserve">INV-001/68</t>
  </si>
  <si>
    <t xml:space="preserve">ค่าวัสดุก่อสร้าง (ปูน หิน เหล็ก) งวด 1</t>
  </si>
  <si>
    <t xml:space="preserve">5100-วัสดุก่อสร้าง</t>
  </si>
  <si>
    <t xml:space="preserve">🔴 รายจ่าย</t>
  </si>
  <si>
    <t xml:space="preserve">⏳ ยังไม่ยื่น</t>
  </si>
  <si>
    <t xml:space="preserve">PO-001/68</t>
  </si>
  <si>
    <t xml:space="preserve">ค่าแรงงาน ประจำสัปดาห์</t>
  </si>
  <si>
    <t xml:space="preserve">5200-ค่าแรงงาน</t>
  </si>
  <si>
    <t xml:space="preserve">PAY-001/68</t>
  </si>
  <si>
    <t xml:space="preserve">ค่าน้ำมันรถ/เครื่องจักร</t>
  </si>
  <si>
    <t xml:space="preserve">5310-ค่าน้ำมัน(หน้างาน)</t>
  </si>
  <si>
    <t xml:space="preserve">เงินสด</t>
  </si>
  <si>
    <t xml:space="preserve">RCP-001/68</t>
  </si>
  <si>
    <t xml:space="preserve">รวมทั้งหมด</t>
  </si>
  <si>
    <t xml:space="preserve">💼 ปรับปรุงระบบระบายน้ำ ชุมชนนัดโตีะโมง ยะลา</t>
  </si>
  <si>
    <t xml:space="preserve">109/2568</t>
  </si>
  <si>
    <t xml:space="preserve">฿17,845,000</t>
  </si>
  <si>
    <t xml:space="preserve">22 ต.ค. 2567</t>
  </si>
  <si>
    <t xml:space="preserve">สำนักงานโยธาธิการและผังเมืองจังหวัดยะลา</t>
  </si>
  <si>
    <t xml:space="preserve">🧾 SKY BLUE CONSTRUCTION — ติดตามภาษีรายเดือน (VAT + WHT Tracker)</t>
  </si>
  <si>
    <t xml:space="preserve">อัปเดตทุกเดือน | สรุปยอดภาษีค้างยื่น เพื่อป้องกันค่าปรับ | เชื่อมกับ FlowAccount</t>
  </si>
  <si>
    <t xml:space="preserve">ส่วนที่ 1 — ภาษีมูลค่าเพิ่ม ภ.พ.30 (VAT Monthly Return)</t>
  </si>
  <si>
    <t xml:space="preserve">ปี (พ.ศ.)</t>
  </si>
  <si>
    <t xml:space="preserve">ยอดขาย
(Output VAT Base)</t>
  </si>
  <si>
    <t xml:space="preserve">VAT ขาย
(Output)</t>
  </si>
  <si>
    <t xml:space="preserve">ยอดซื้อ
(Input VAT Base)</t>
  </si>
  <si>
    <t xml:space="preserve">VAT ซื้อ
(Input)</t>
  </si>
  <si>
    <t xml:space="preserve">VAT
ต้องชำระ</t>
  </si>
  <si>
    <t xml:space="preserve">วันที่ยื่น</t>
  </si>
  <si>
    <t xml:space="preserve">เลขรับ
สรรพากร</t>
  </si>
  <si>
    <t xml:space="preserve">ค่าปรับ
(ถ้ามี)</t>
  </si>
  <si>
    <t xml:space="preserve">มีนาคม</t>
  </si>
  <si>
    <t xml:space="preserve">2568</t>
  </si>
  <si>
    <t xml:space="preserve">เมษายน</t>
  </si>
  <si>
    <t xml:space="preserve">พฤษภาคม</t>
  </si>
  <si>
    <t xml:space="preserve">มิถุนายน</t>
  </si>
  <si>
    <t xml:space="preserve">กรกฎาคม</t>
  </si>
  <si>
    <t xml:space="preserve">สิงหาคม</t>
  </si>
  <si>
    <t xml:space="preserve">กันยายน</t>
  </si>
  <si>
    <t xml:space="preserve">ตุลาคม</t>
  </si>
  <si>
    <t xml:space="preserve">พฤศจิกายน</t>
  </si>
  <si>
    <t xml:space="preserve">ธันวาคม</t>
  </si>
  <si>
    <t xml:space="preserve">มกราคม</t>
  </si>
  <si>
    <t xml:space="preserve">2569</t>
  </si>
  <si>
    <t xml:space="preserve">กุมภาพันธ์</t>
  </si>
  <si>
    <t xml:space="preserve">ส่วนที่ 2 — ภาษีหัก ณ ที่จ่าย ภ.ง.ด.3 และ ภ.ง.ด.53</t>
  </si>
  <si>
    <t xml:space="preserve">ประเภท
แบบ</t>
  </si>
  <si>
    <t xml:space="preserve">จำนวน
ผู้ถูกหัก</t>
  </si>
  <si>
    <t xml:space="preserve">ยอดเงิน
ที่จ่าย (บาท)</t>
  </si>
  <si>
    <t xml:space="preserve">WHT
ที่หัก (บาท)</t>
  </si>
  <si>
    <t xml:space="preserve">🔁 SKY BLUE CONSTRUCTION — รายจ่ายประจำ (Recurring Expenses)</t>
  </si>
  <si>
    <t xml:space="preserve">รายการนี้ตั้งค่าใน FlowAccount เป็น Recurring Bill อัตโนมัติ | อัปเดตทุกปี</t>
  </si>
  <si>
    <t xml:space="preserve">รายการ</t>
  </si>
  <si>
    <t xml:space="preserve">รหัสบัญชี FlowAccount</t>
  </si>
  <si>
    <t xml:space="preserve">จำนวน
(บาท/งวด)</t>
  </si>
  <si>
    <t xml:space="preserve">VAT
(บาท)</t>
  </si>
  <si>
    <t xml:space="preserve">รวมสุทธิ
(บาท)</t>
  </si>
  <si>
    <t xml:space="preserve">ความถี่</t>
  </si>
  <si>
    <t xml:space="preserve">วันที่จ่าย
(ของเดือน)</t>
  </si>
  <si>
    <t xml:space="preserve">ผู้รับเงิน / หมายเหตุ</t>
  </si>
  <si>
    <t xml:space="preserve">เงินเดือนพนักงานประจำ (รวมทุกคน)</t>
  </si>
  <si>
    <t xml:space="preserve">6100-เงินเดือน</t>
  </si>
  <si>
    <t xml:space="preserve">รายเดือน</t>
  </si>
  <si>
    <t xml:space="preserve">28</t>
  </si>
  <si>
    <t xml:space="preserve">ผ่านบัญชีธนาคาร</t>
  </si>
  <si>
    <t xml:space="preserve">ค่าเช่าสำนักงานใหญ่ + ที่จอดรถ/เครื่องจักร</t>
  </si>
  <si>
    <t xml:space="preserve">6200-ค่าเช่า</t>
  </si>
  <si>
    <t xml:space="preserve">[เจ้าของที่ดิน]</t>
  </si>
  <si>
    <t xml:space="preserve">ค่าโทรศัพท์มือถือ (กิจการ)</t>
  </si>
  <si>
    <t xml:space="preserve">6300-สื่อสาร</t>
  </si>
  <si>
    <t xml:space="preserve">10</t>
  </si>
  <si>
    <t xml:space="preserve">ค่าอินเทอร์เน็ตสำนักงาน</t>
  </si>
  <si>
    <t xml:space="preserve">ค่าประกันภัยรถยนต์ทุกคัน</t>
  </si>
  <si>
    <t xml:space="preserve">6400-ประกันภัย</t>
  </si>
  <si>
    <t xml:space="preserve">รายปี</t>
  </si>
  <si>
    <t xml:space="preserve">[ระบุ]</t>
  </si>
  <si>
    <t xml:space="preserve">แยกรายคันใน Sheet ทรัพย์สิน</t>
  </si>
  <si>
    <t xml:space="preserve">ค่าประกันภัยเครื่องจักร</t>
  </si>
  <si>
    <t xml:space="preserve">7</t>
  </si>
  <si>
    <t xml:space="preserve">ค่าบำรุงรักษารถ/เครื่องจักร (ประมาณการ)</t>
  </si>
  <si>
    <t xml:space="preserve">6500-ซ่อมบำรุง</t>
  </si>
  <si>
    <t xml:space="preserve">8</t>
  </si>
  <si>
    <t xml:space="preserve">ค่าทำบัญชี (สำนักงานบัญชี)</t>
  </si>
  <si>
    <t xml:space="preserve">6600-ค่าบริการวิชาชีพ</t>
  </si>
  <si>
    <t xml:space="preserve">9</t>
  </si>
  <si>
    <t xml:space="preserve">Leasing รถยนต์/เครื่องจักร (งวด/เดือน)</t>
  </si>
  <si>
    <t xml:space="preserve">2400-Leasing</t>
  </si>
  <si>
    <t xml:space="preserve">[บริษัท Leasing]</t>
  </si>
  <si>
    <t xml:space="preserve">ดอกเบี้ยเงินกู้ธนาคาร</t>
  </si>
  <si>
    <t xml:space="preserve">6700-ดอกเบี้ย</t>
  </si>
  <si>
    <t xml:space="preserve">11</t>
  </si>
  <si>
    <t xml:space="preserve">ค่าธรรมเนียม/ใบอนุญาตก่อสร้าง</t>
  </si>
  <si>
    <t xml:space="preserve">6800-ค่าธรรมเนียม</t>
  </si>
  <si>
    <t xml:space="preserve">12</t>
  </si>
  <si>
    <t xml:space="preserve">อื่นๆ (ระบุ)</t>
  </si>
  <si>
    <t xml:space="preserve">6900-อื่นๆ</t>
  </si>
  <si>
    <t xml:space="preserve">รวมรายจ่ายประจำ / เดือน</t>
  </si>
  <si>
    <t xml:space="preserve">🏗️ SKY BLUE CONSTRUCTION — ทะเบียนทรัพย์สินถาวร (Fixed Asset Register)</t>
  </si>
  <si>
    <t xml:space="preserve">รถ | เครื่องจักร | อุปกรณ์ก่อสร้าง | ครุภัณฑ์สำนักงาน | ค่าเสื่อมราคาคำนวณอัตโนมัติ</t>
  </si>
  <si>
    <t xml:space="preserve">📸 ลิงก์รูป: ถ่ายรูป → Upload Google Drive → วางลิงก์ในคอลัมน์ O | หรือส่งผ่าน LINE OA ระบบบันทึกให้อัตโนมัติ</t>
  </si>
  <si>
    <t xml:space="preserve">รหัส
FA</t>
  </si>
  <si>
    <t xml:space="preserve">ชื่อทรัพย์สิน</t>
  </si>
  <si>
    <t xml:space="preserve">ยี่ห้อ/รุ่น</t>
  </si>
  <si>
    <t xml:space="preserve">ทะเบียน/Serial</t>
  </si>
  <si>
    <t xml:space="preserve">วันที่ซื้อ</t>
  </si>
  <si>
    <t xml:space="preserve">ราคาซื้อ
(บาท)</t>
  </si>
  <si>
    <t xml:space="preserve">อายุ
(ปี)</t>
  </si>
  <si>
    <t xml:space="preserve">ค่าเสื่อม/ปี
(บาท)</t>
  </si>
  <si>
    <t xml:space="preserve">ค่าเสื่อมสะสม
(บาท)</t>
  </si>
  <si>
    <t xml:space="preserve">มูลค่าสุทธิ
ปัจจุบัน (บาท)</t>
  </si>
  <si>
    <t xml:space="preserve">ที่ตั้ง/
ใช้งาน</t>
  </si>
  <si>
    <t xml:space="preserve">ประกัน
หมดอายุ</t>
  </si>
  <si>
    <t xml:space="preserve">ลิงก์รูป/เอกสาร</t>
  </si>
  <si>
    <t xml:space="preserve">FA-001</t>
  </si>
  <si>
    <t xml:space="preserve">รถแบ็คโฮ (Backhoe)</t>
  </si>
  <si>
    <t xml:space="preserve">รถตักดิน(Backhoe)</t>
  </si>
  <si>
    <t xml:space="preserve">Komatsu</t>
  </si>
  <si>
    <t xml:space="preserve">[เลขทะเบียน]</t>
  </si>
  <si>
    <t xml:space="preserve">หน้างาน</t>
  </si>
  <si>
    <t xml:space="preserve">✅ ใช้งานปกติ</t>
  </si>
  <si>
    <t xml:space="preserve">FA-002</t>
  </si>
  <si>
    <t xml:space="preserve">รถบรรทุก 6 ล้อ</t>
  </si>
  <si>
    <t xml:space="preserve">รถบรรทุก</t>
  </si>
  <si>
    <t xml:space="preserve">Isuzu FVR</t>
  </si>
  <si>
    <t xml:space="preserve">FA-003</t>
  </si>
  <si>
    <t xml:space="preserve">รถกระบะ 4WD</t>
  </si>
  <si>
    <t xml:space="preserve">รถกระบะ</t>
  </si>
  <si>
    <t xml:space="preserve">Toyota Hilux</t>
  </si>
  <si>
    <t xml:space="preserve">สำนักงาน</t>
  </si>
  <si>
    <t xml:space="preserve">FA-004</t>
  </si>
  <si>
    <t xml:space="preserve">เครื่องผสมคอนกรีต</t>
  </si>
  <si>
    <t xml:space="preserve">[Serial]</t>
  </si>
  <si>
    <t xml:space="preserve">คลังวัสดุ</t>
  </si>
  <si>
    <t xml:space="preserve">FA-005</t>
  </si>
  <si>
    <t xml:space="preserve">คอมพิวเตอร์โน้ตบุ๊ค</t>
  </si>
  <si>
    <t xml:space="preserve">ครุภัณฑ์สำนักงาน</t>
  </si>
  <si>
    <t xml:space="preserve">รวมมูลค่าทรัพย์สินทั้งหมด</t>
  </si>
  <si>
    <t xml:space="preserve">📊 ผังบัญชี (Chart of Accounts) — ตามโครงสร้าง FlowAccount สำหรับธุรกิจรับเหมาก่อสร้าง</t>
  </si>
  <si>
    <t xml:space="preserve">ผังบัญชีนี้ออกแบบให้ตรงกับ Category ที่ FlowAccount ใช้ | สามารถนำไป Import ตั้งค่าในระบบได้</t>
  </si>
  <si>
    <t xml:space="preserve">รหัสบัญชี
(FlowAccount)</t>
  </si>
  <si>
    <t xml:space="preserve">ชื่อบัญชี (ภาษาไทย)</t>
  </si>
  <si>
    <t xml:space="preserve">หมวด
บัญชี</t>
  </si>
  <si>
    <t xml:space="preserve">ใช้เมื่อไหร่ / อธิบาย</t>
  </si>
  <si>
    <t xml:space="preserve">มี VAT
(ใช่/ไม่)</t>
  </si>
  <si>
    <t xml:space="preserve">หัก ณ
ที่จ่าย %</t>
  </si>
  <si>
    <t xml:space="preserve">FlowAccount
Doc Type</t>
  </si>
  <si>
    <t xml:space="preserve">ใช้ใน
โปรเจค</t>
  </si>
  <si>
    <t xml:space="preserve">══ หมวด 1 สินทรัพย์ (Assets) ══</t>
  </si>
  <si>
    <t xml:space="preserve">1000</t>
  </si>
  <si>
    <t xml:space="preserve">เงินสด (Cash on Hand)</t>
  </si>
  <si>
    <t xml:space="preserve">สินทรัพย์</t>
  </si>
  <si>
    <t xml:space="preserve">เงินสดที่ถืออยู่ในกล่อง/ตู้เซฟ</t>
  </si>
  <si>
    <t xml:space="preserve">ไม่</t>
  </si>
  <si>
    <t xml:space="preserve">-</t>
  </si>
  <si>
    <t xml:space="preserve">Payment</t>
  </si>
  <si>
    <t xml:space="preserve">1010</t>
  </si>
  <si>
    <t xml:space="preserve">เงินฝากธนาคาร (Bank)</t>
  </si>
  <si>
    <t xml:space="preserve">บัญชีออมทรัพย์/กระแสรายวันบริษัท แยกรายบัญชี</t>
  </si>
  <si>
    <t xml:space="preserve">1100</t>
  </si>
  <si>
    <t xml:space="preserve">ลูกหนี้การค้า — ภาครัฐ</t>
  </si>
  <si>
    <t xml:space="preserve">เงินที่ภาครัฐค้างจ่าย หลังส่งมอบงานแต่ละงวด</t>
  </si>
  <si>
    <t xml:space="preserve">Invoice</t>
  </si>
  <si>
    <t xml:space="preserve">✅</t>
  </si>
  <si>
    <t xml:space="preserve">1200</t>
  </si>
  <si>
    <t xml:space="preserve">วัสดุก่อสร้างคงเหลือ (Inventory)</t>
  </si>
  <si>
    <t xml:space="preserve">วัสดุที่ซื้อมาแต่ยังไม่ได้ใช้หน้างาน</t>
  </si>
  <si>
    <t xml:space="preserve">Bill</t>
  </si>
  <si>
    <t xml:space="preserve">1300</t>
  </si>
  <si>
    <t xml:space="preserve">เงินมัดจำ/ประกันสัญญา</t>
  </si>
  <si>
    <t xml:space="preserve">หลักประกันสัญญาที่วางกับภาครัฐ</t>
  </si>
  <si>
    <t xml:space="preserve">Journal</t>
  </si>
  <si>
    <t xml:space="preserve">1500</t>
  </si>
  <si>
    <t xml:space="preserve">ที่ดิน อาคาร เครื่องจักร (ราคาทุน)</t>
  </si>
  <si>
    <t xml:space="preserve">มูลค่าเต็มของรถ เครื่องจักร อุปกรณ์</t>
  </si>
  <si>
    <t xml:space="preserve">1510</t>
  </si>
  <si>
    <t xml:space="preserve">ค่าเสื่อมราคาสะสม</t>
  </si>
  <si>
    <t xml:space="preserve">(หักจาก 1500) บันทึกทุกสิ้นปี</t>
  </si>
  <si>
    <t xml:space="preserve">1900</t>
  </si>
  <si>
    <t xml:space="preserve">สินทรัพย์อื่นๆ</t>
  </si>
  <si>
    <t xml:space="preserve">เงินจ่ายล่วงหน้า ค่าใช้จ่ายรอตัดบัญชี</t>
  </si>
  <si>
    <t xml:space="preserve">══ หมวด 2 หนี้สิน (Liabilities) ══</t>
  </si>
  <si>
    <t xml:space="preserve">2000</t>
  </si>
  <si>
    <t xml:space="preserve">เจ้าหนี้การค้า (Accounts Payable)</t>
  </si>
  <si>
    <t xml:space="preserve">หนี้สิน</t>
  </si>
  <si>
    <t xml:space="preserve">ค้างจ่ายซัพพลายเออร์วัสดุก่อสร้าง</t>
  </si>
  <si>
    <t xml:space="preserve">2100</t>
  </si>
  <si>
    <t xml:space="preserve">VAT ค้างส่ง (Output VAT Payable)</t>
  </si>
  <si>
    <t xml:space="preserve">VAT ที่เรียกเก็บลูกค้าแล้วรอส่งสรรพากร</t>
  </si>
  <si>
    <t xml:space="preserve">2200</t>
  </si>
  <si>
    <t xml:space="preserve">WHT ค้างส่ง (WHT Payable)</t>
  </si>
  <si>
    <t xml:space="preserve">ภาษีหัก ณ ที่จ่ายที่หักไว้รอนำส่ง</t>
  </si>
  <si>
    <t xml:space="preserve">2300</t>
  </si>
  <si>
    <t xml:space="preserve">เงินรับล่วงหน้าจากลูกค้า</t>
  </si>
  <si>
    <t xml:space="preserve">เงินดาวน์ที่รับจากลูกค้าก่อนเริ่มงาน</t>
  </si>
  <si>
    <t xml:space="preserve">2400</t>
  </si>
  <si>
    <t xml:space="preserve">เงินกู้ระยะสั้น/OD ธนาคาร</t>
  </si>
  <si>
    <t xml:space="preserve">วงเงิน OD หรือเงินกู้ไม่เกิน 1 ปี</t>
  </si>
  <si>
    <t xml:space="preserve">2500</t>
  </si>
  <si>
    <t xml:space="preserve">Leasing/เงินกู้ระยะยาว</t>
  </si>
  <si>
    <t xml:space="preserve">Leasing รถ เครื่องจักร งวดผ่อนระยะยาว</t>
  </si>
  <si>
    <t xml:space="preserve">2600</t>
  </si>
  <si>
    <t xml:space="preserve">เงินประกันผลงาน (Retention)</t>
  </si>
  <si>
    <t xml:space="preserve">ภาครัฐหักไว้ 5-10% รอส่งคืนหลังรับงาน</t>
  </si>
  <si>
    <t xml:space="preserve">══ หมวด 3 ทุน (Equity) ══</t>
  </si>
  <si>
    <t xml:space="preserve">3000</t>
  </si>
  <si>
    <t xml:space="preserve">ทุนจดทะเบียน</t>
  </si>
  <si>
    <t xml:space="preserve">ทุน</t>
  </si>
  <si>
    <t xml:space="preserve">ทุน 1,500,000 บาท</t>
  </si>
  <si>
    <t xml:space="preserve">3100</t>
  </si>
  <si>
    <t xml:space="preserve">กำไรสะสม</t>
  </si>
  <si>
    <t xml:space="preserve">กำไรที่ยังไม่จ่ายปันผล</t>
  </si>
  <si>
    <t xml:space="preserve">══ หมวด 4 รายได้ (Revenue) ══</t>
  </si>
  <si>
    <t xml:space="preserve">4100</t>
  </si>
  <si>
    <t xml:space="preserve">รายได้รับเหมาก่อสร้าง</t>
  </si>
  <si>
    <t xml:space="preserve">รายได้</t>
  </si>
  <si>
    <t xml:space="preserve">รายได้หลักแต่ละงวดตามสัญญา ออก Tax Invoice</t>
  </si>
  <si>
    <t xml:space="preserve">ใช่ 7%</t>
  </si>
  <si>
    <t xml:space="preserve">4200</t>
  </si>
  <si>
    <t xml:space="preserve">รายได้ค่าออกแบบ/ที่ปรึกษา</t>
  </si>
  <si>
    <t xml:space="preserve">ถ้ารับงานออกแบบเพิ่มเติม</t>
  </si>
  <si>
    <t xml:space="preserve">4300</t>
  </si>
  <si>
    <t xml:space="preserve">รายได้อื่นๆ</t>
  </si>
  <si>
    <t xml:space="preserve">ดอกเบี้ยรับ ค่าปรับ เงินชดเชย</t>
  </si>
  <si>
    <t xml:space="preserve">Receipt</t>
  </si>
  <si>
    <t xml:space="preserve">══ หมวด 5 ต้นทุนโปรเจค (Direct Cost) ══</t>
  </si>
  <si>
    <t xml:space="preserve">5100</t>
  </si>
  <si>
    <t xml:space="preserve">ต้นทุนวัสดุก่อสร้าง</t>
  </si>
  <si>
    <t xml:space="preserve">ต้นทุนโปรเจค</t>
  </si>
  <si>
    <t xml:space="preserve">ปูน หิน ทราย เหล็ก กระเบื้อง ท่อ ฯลฯ ออก Bill VAT</t>
  </si>
  <si>
    <t xml:space="preserve">3%</t>
  </si>
  <si>
    <t xml:space="preserve">5200</t>
  </si>
  <si>
    <t xml:space="preserve">ค่าแรงงานก่อสร้าง (ว่าจ้าง)</t>
  </si>
  <si>
    <t xml:space="preserve">แรงงานรายวัน พนักงานหน้างาน (WHT ภ.ง.ด.3)</t>
  </si>
  <si>
    <t xml:space="preserve">5210</t>
  </si>
  <si>
    <t xml:space="preserve">เงินเดือนวิศวกร/โฟร์แมน (ประจำ)</t>
  </si>
  <si>
    <t xml:space="preserve">พนักงานประจำที่ทำงานหน้างาน</t>
  </si>
  <si>
    <t xml:space="preserve">5%</t>
  </si>
  <si>
    <t xml:space="preserve">5300</t>
  </si>
  <si>
    <t xml:space="preserve">ค่าเช่าเครื่องจักร/รถขุด (รายโปรเจค)</t>
  </si>
  <si>
    <t xml:space="preserve">เช่าจากภายนอก มี VAT + WHT 5%</t>
  </si>
  <si>
    <t xml:space="preserve">5310</t>
  </si>
  <si>
    <t xml:space="preserve">ค่าน้ำมัน (หน้างาน)</t>
  </si>
  <si>
    <t xml:space="preserve">น้ำมันรถ เครื่องจักรหน้างาน</t>
  </si>
  <si>
    <t xml:space="preserve">Expense</t>
  </si>
  <si>
    <t xml:space="preserve">5400</t>
  </si>
  <si>
    <t xml:space="preserve">ค่าขนส่งวัสดุ (รายโปรเจค)</t>
  </si>
  <si>
    <t xml:space="preserve">รถขนส่งวัสดุ WHT 1%</t>
  </si>
  <si>
    <t xml:space="preserve">1%</t>
  </si>
  <si>
    <t xml:space="preserve">5500</t>
  </si>
  <si>
    <t xml:space="preserve">ค่าเหมาช่วง (Subcontract)</t>
  </si>
  <si>
    <t xml:space="preserve">จ้างผู้รับเหมาช่วงทำงานบางส่วน WHT 3%</t>
  </si>
  <si>
    <t xml:space="preserve">5600</t>
  </si>
  <si>
    <t xml:space="preserve">ค่าเสื่อมราคา-หน้างาน (รายโปรเจค)</t>
  </si>
  <si>
    <t xml:space="preserve">ค่าเสื่อมที่จัดสรรให้แต่ละโปรเจค</t>
  </si>
  <si>
    <t xml:space="preserve">5700</t>
  </si>
  <si>
    <t xml:space="preserve">ค่าทดสอบวัสดุ/ตรวจสอบ</t>
  </si>
  <si>
    <t xml:space="preserve">ค่าตรวจสอบคุณภาพ ค่าทดสอบโครงสร้าง</t>
  </si>
  <si>
    <t xml:space="preserve">5900</t>
  </si>
  <si>
    <t xml:space="preserve">ต้นทุนโปรเจคอื่นๆ</t>
  </si>
  <si>
    <t xml:space="preserve">ค่าใช้จ่ายโปรเจคที่ไม่อยู่ในหมวดข้างต้น</t>
  </si>
  <si>
    <t xml:space="preserve">══ หมวด 6 ค่าใช้จ่ายดำเนินงาน (Operating Expenses) ══</t>
  </si>
  <si>
    <t xml:space="preserve">6100</t>
  </si>
  <si>
    <t xml:space="preserve">เงินเดือนพนักงานสำนักงาน</t>
  </si>
  <si>
    <t xml:space="preserve">ค่าใช้จ่ายดำเนินงาน</t>
  </si>
  <si>
    <t xml:space="preserve">ฝ่ายบัญชี ธุรการ หัวหน้าฝ่าย</t>
  </si>
  <si>
    <t xml:space="preserve">6200</t>
  </si>
  <si>
    <t xml:space="preserve">ค่าเช่าสำนักงาน</t>
  </si>
  <si>
    <t xml:space="preserve">ค่าเช่าสำนักงานใหญ่/ทำการ WHT 5%</t>
  </si>
  <si>
    <t xml:space="preserve">6210</t>
  </si>
  <si>
    <t xml:space="preserve">ค่าเช่าพื้นที่จอดเครื่องจักร/คลัง</t>
  </si>
  <si>
    <t xml:space="preserve">WHT 5%</t>
  </si>
  <si>
    <t xml:space="preserve">6300</t>
  </si>
  <si>
    <t xml:space="preserve">ค่าสื่อสาร (โทรศัพท์/อินเทอร์เน็ต)</t>
  </si>
  <si>
    <t xml:space="preserve">บิลโทรศัพท์มือถือ + อินเทอร์เน็ต</t>
  </si>
  <si>
    <t xml:space="preserve">6400</t>
  </si>
  <si>
    <t xml:space="preserve">ค่าประกันภัย</t>
  </si>
  <si>
    <t xml:space="preserve">ประกันรถ เครื่องจักร โปรเจค WHT 1%</t>
  </si>
  <si>
    <t xml:space="preserve">6500</t>
  </si>
  <si>
    <t xml:space="preserve">ค่าซ่อมบำรุง/ค่าน้ำมัน (สำนักงาน)</t>
  </si>
  <si>
    <t xml:space="preserve">ซ่อมรถสำนักงาน น้ำมันรถสำนักงาน</t>
  </si>
  <si>
    <t xml:space="preserve">6600</t>
  </si>
  <si>
    <t xml:space="preserve">ค่าบริการวิชาชีพ</t>
  </si>
  <si>
    <t xml:space="preserve">บัญชี กฎหมาย วิศวกรที่ปรึกษา WHT 3%</t>
  </si>
  <si>
    <t xml:space="preserve">6700</t>
  </si>
  <si>
    <t xml:space="preserve">ดอกเบี้ยจ่าย</t>
  </si>
  <si>
    <t xml:space="preserve">ดอกเบี้ย OD/เงินกู้</t>
  </si>
  <si>
    <t xml:space="preserve">6800</t>
  </si>
  <si>
    <t xml:space="preserve">ค่าธรรมเนียม/ใบอนุญาต</t>
  </si>
  <si>
    <t xml:space="preserve">ค่าธรรมเนียมราชการ ใบอนุญาตก่อสร้าง</t>
  </si>
  <si>
    <t xml:space="preserve">6900</t>
  </si>
  <si>
    <t xml:space="preserve">ค่าใช้จ่ายดำเนินงานอื่นๆ</t>
  </si>
  <si>
    <t xml:space="preserve">เครื่องเขียน อุปกรณ์สำนักงาน ฯลฯ</t>
  </si>
  <si>
    <t xml:space="preserve">🔵 สินทรัพย์  🔴 หนี้สิน  🟣 ทุน  🟢 รายได้  🟡 ต้นทุนโปรเจค  🟠 ค่าใช้จ่ายดำเนินงาน | WHT: วัสดุ 3%, แรงงาน 3%, เช่า 5%, ขนส่ง 1%, ประกัน 1%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</si>
</sst>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EA580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B3A6B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EA580C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B3A6B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563EB"/>
        <bgColor rgb="FF0066CC"/>
      </patternFill>
    </fill>
    <fill>
      <patternFill patternType="solid">
        <fgColor rgb="FF64748B"/>
        <bgColor rgb="FF808080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FEF3C7"/>
        <bgColor rgb="FFFEF9C3"/>
      </patternFill>
    </fill>
    <fill>
      <patternFill patternType="solid">
        <fgColor rgb="FFFEF9C3"/>
        <bgColor rgb="FFFEF3C7"/>
      </patternFill>
    </fill>
    <fill>
      <patternFill patternType="solid">
        <fgColor rgb="FF0D9488"/>
        <bgColor rgb="FF008080"/>
      </patternFill>
    </fill>
    <fill>
      <patternFill patternType="solid">
        <fgColor rgb="FFDBEAFE"/>
        <bgColor rgb="FFEDE9FE"/>
      </patternFill>
    </fill>
    <fill>
      <patternFill patternType="solid">
        <fgColor rgb="FFDCFCE7"/>
        <bgColor rgb="FFDBEAFE"/>
      </patternFill>
    </fill>
    <fill>
      <patternFill patternType="solid">
        <fgColor rgb="FFFEE2E2"/>
        <bgColor rgb="FFEDE9FE"/>
      </patternFill>
    </fill>
    <fill>
      <patternFill patternType="solid">
        <fgColor rgb="FFEDE9FE"/>
        <bgColor rgb="FFDBEAFE"/>
      </patternFill>
    </fill>
    <fill>
      <patternFill patternType="solid">
        <fgColor rgb="FFFFF7ED"/>
        <bgColor rgb="FFF8FA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EDE9FE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8FAFC"/>
      <rgbColor rgb="FFFEF3C7"/>
      <rgbColor rgb="FFFFF7ED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EA580C"/>
      <rgbColor rgb="FF64748B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28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9.5" hidden="false" customHeight="tru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21.75" hidden="false" customHeight="true" outlineLevel="0" collapsed="false">
      <c r="A6" s="5" t="s">
        <v>11</v>
      </c>
      <c r="B6" s="5" t="s">
        <v>12</v>
      </c>
      <c r="C6" s="6" t="s">
        <v>13</v>
      </c>
      <c r="D6" s="6" t="s">
        <v>14</v>
      </c>
      <c r="E6" s="5" t="s">
        <v>15</v>
      </c>
      <c r="F6" s="5" t="s">
        <v>16</v>
      </c>
      <c r="G6" s="5" t="s">
        <v>17</v>
      </c>
      <c r="H6" s="6"/>
    </row>
    <row r="7" customFormat="false" ht="21.75" hidden="false" customHeight="true" outlineLevel="0" collapsed="false">
      <c r="A7" s="7" t="s">
        <v>11</v>
      </c>
      <c r="B7" s="7" t="s">
        <v>18</v>
      </c>
      <c r="C7" s="8" t="s">
        <v>13</v>
      </c>
      <c r="D7" s="8" t="s">
        <v>19</v>
      </c>
      <c r="E7" s="7" t="s">
        <v>15</v>
      </c>
      <c r="F7" s="7" t="s">
        <v>16</v>
      </c>
      <c r="G7" s="7" t="s">
        <v>17</v>
      </c>
      <c r="H7" s="8"/>
    </row>
    <row r="8" customFormat="false" ht="21.75" hidden="false" customHeight="true" outlineLevel="0" collapsed="false">
      <c r="A8" s="5" t="s">
        <v>11</v>
      </c>
      <c r="B8" s="5" t="s">
        <v>20</v>
      </c>
      <c r="C8" s="6" t="s">
        <v>13</v>
      </c>
      <c r="D8" s="6" t="s">
        <v>21</v>
      </c>
      <c r="E8" s="5" t="s">
        <v>15</v>
      </c>
      <c r="F8" s="5" t="s">
        <v>22</v>
      </c>
      <c r="G8" s="5" t="s">
        <v>17</v>
      </c>
      <c r="H8" s="6"/>
    </row>
    <row r="9" customFormat="false" ht="21.75" hidden="false" customHeight="true" outlineLevel="0" collapsed="false">
      <c r="A9" s="7" t="s">
        <v>11</v>
      </c>
      <c r="B9" s="7" t="s">
        <v>23</v>
      </c>
      <c r="C9" s="8" t="s">
        <v>13</v>
      </c>
      <c r="D9" s="8" t="s">
        <v>24</v>
      </c>
      <c r="E9" s="7" t="s">
        <v>25</v>
      </c>
      <c r="F9" s="7" t="s">
        <v>16</v>
      </c>
      <c r="G9" s="7" t="s">
        <v>17</v>
      </c>
      <c r="H9" s="8"/>
    </row>
    <row r="10" customFormat="false" ht="19.5" hidden="false" customHeight="true" outlineLevel="0" collapsed="false">
      <c r="A10" s="4" t="s">
        <v>26</v>
      </c>
      <c r="B10" s="4"/>
      <c r="C10" s="4"/>
      <c r="D10" s="4"/>
      <c r="E10" s="4"/>
      <c r="F10" s="4"/>
      <c r="G10" s="4"/>
      <c r="H10" s="4"/>
    </row>
    <row r="11" customFormat="false" ht="21.75" hidden="false" customHeight="true" outlineLevel="0" collapsed="false">
      <c r="A11" s="7" t="s">
        <v>27</v>
      </c>
      <c r="B11" s="7" t="s">
        <v>12</v>
      </c>
      <c r="C11" s="8" t="s">
        <v>13</v>
      </c>
      <c r="D11" s="8" t="s">
        <v>28</v>
      </c>
      <c r="E11" s="7" t="s">
        <v>15</v>
      </c>
      <c r="F11" s="7" t="s">
        <v>29</v>
      </c>
      <c r="G11" s="7" t="s">
        <v>17</v>
      </c>
      <c r="H11" s="8" t="s">
        <v>30</v>
      </c>
    </row>
    <row r="12" customFormat="false" ht="21.75" hidden="false" customHeight="true" outlineLevel="0" collapsed="false">
      <c r="A12" s="5" t="s">
        <v>27</v>
      </c>
      <c r="B12" s="5" t="s">
        <v>18</v>
      </c>
      <c r="C12" s="6" t="s">
        <v>13</v>
      </c>
      <c r="D12" s="6" t="s">
        <v>31</v>
      </c>
      <c r="E12" s="5" t="s">
        <v>15</v>
      </c>
      <c r="F12" s="5" t="s">
        <v>32</v>
      </c>
      <c r="G12" s="5" t="s">
        <v>17</v>
      </c>
      <c r="H12" s="6" t="s">
        <v>33</v>
      </c>
    </row>
    <row r="13" customFormat="false" ht="21.75" hidden="false" customHeight="true" outlineLevel="0" collapsed="false">
      <c r="A13" s="7" t="s">
        <v>27</v>
      </c>
      <c r="B13" s="7" t="s">
        <v>20</v>
      </c>
      <c r="C13" s="8" t="s">
        <v>13</v>
      </c>
      <c r="D13" s="8" t="s">
        <v>34</v>
      </c>
      <c r="E13" s="7" t="s">
        <v>15</v>
      </c>
      <c r="F13" s="7" t="s">
        <v>32</v>
      </c>
      <c r="G13" s="7" t="s">
        <v>17</v>
      </c>
      <c r="H13" s="8"/>
    </row>
    <row r="14" customFormat="false" ht="21.75" hidden="false" customHeight="true" outlineLevel="0" collapsed="false">
      <c r="A14" s="5" t="s">
        <v>27</v>
      </c>
      <c r="B14" s="5" t="s">
        <v>23</v>
      </c>
      <c r="C14" s="6" t="s">
        <v>35</v>
      </c>
      <c r="D14" s="6" t="s">
        <v>36</v>
      </c>
      <c r="E14" s="5" t="s">
        <v>25</v>
      </c>
      <c r="F14" s="5" t="s">
        <v>16</v>
      </c>
      <c r="G14" s="5" t="s">
        <v>17</v>
      </c>
      <c r="H14" s="6" t="s">
        <v>37</v>
      </c>
    </row>
    <row r="15" customFormat="false" ht="19.5" hidden="false" customHeight="true" outlineLevel="0" collapsed="false">
      <c r="A15" s="4" t="s">
        <v>38</v>
      </c>
      <c r="B15" s="4"/>
      <c r="C15" s="4"/>
      <c r="D15" s="4"/>
      <c r="E15" s="4"/>
      <c r="F15" s="4"/>
      <c r="G15" s="4"/>
      <c r="H15" s="4"/>
    </row>
    <row r="16" customFormat="false" ht="21.75" hidden="false" customHeight="true" outlineLevel="0" collapsed="false">
      <c r="A16" s="5" t="s">
        <v>39</v>
      </c>
      <c r="B16" s="5" t="s">
        <v>12</v>
      </c>
      <c r="C16" s="6" t="s">
        <v>13</v>
      </c>
      <c r="D16" s="6" t="s">
        <v>40</v>
      </c>
      <c r="E16" s="5" t="s">
        <v>41</v>
      </c>
      <c r="F16" s="5" t="s">
        <v>32</v>
      </c>
      <c r="G16" s="5" t="s">
        <v>17</v>
      </c>
      <c r="H16" s="6" t="s">
        <v>42</v>
      </c>
    </row>
    <row r="17" customFormat="false" ht="21.75" hidden="false" customHeight="true" outlineLevel="0" collapsed="false">
      <c r="A17" s="7" t="s">
        <v>39</v>
      </c>
      <c r="B17" s="7" t="s">
        <v>18</v>
      </c>
      <c r="C17" s="8" t="s">
        <v>13</v>
      </c>
      <c r="D17" s="8" t="s">
        <v>43</v>
      </c>
      <c r="E17" s="7" t="s">
        <v>25</v>
      </c>
      <c r="F17" s="7" t="s">
        <v>32</v>
      </c>
      <c r="G17" s="7" t="s">
        <v>17</v>
      </c>
      <c r="H17" s="8"/>
    </row>
    <row r="18" customFormat="false" ht="21.75" hidden="false" customHeight="true" outlineLevel="0" collapsed="false">
      <c r="A18" s="5" t="s">
        <v>39</v>
      </c>
      <c r="B18" s="5" t="s">
        <v>20</v>
      </c>
      <c r="C18" s="6" t="s">
        <v>35</v>
      </c>
      <c r="D18" s="6" t="s">
        <v>44</v>
      </c>
      <c r="E18" s="5" t="s">
        <v>41</v>
      </c>
      <c r="F18" s="5" t="s">
        <v>32</v>
      </c>
      <c r="G18" s="5" t="s">
        <v>17</v>
      </c>
      <c r="H18" s="6"/>
    </row>
    <row r="19" customFormat="false" ht="21.75" hidden="false" customHeight="true" outlineLevel="0" collapsed="false">
      <c r="A19" s="7" t="s">
        <v>39</v>
      </c>
      <c r="B19" s="7" t="s">
        <v>23</v>
      </c>
      <c r="C19" s="8" t="s">
        <v>35</v>
      </c>
      <c r="D19" s="8" t="s">
        <v>45</v>
      </c>
      <c r="E19" s="7" t="s">
        <v>25</v>
      </c>
      <c r="F19" s="7" t="s">
        <v>32</v>
      </c>
      <c r="G19" s="7" t="s">
        <v>17</v>
      </c>
      <c r="H19" s="8"/>
    </row>
    <row r="20" customFormat="false" ht="21.75" hidden="false" customHeight="true" outlineLevel="0" collapsed="false">
      <c r="A20" s="5" t="s">
        <v>39</v>
      </c>
      <c r="B20" s="5" t="s">
        <v>46</v>
      </c>
      <c r="C20" s="6" t="s">
        <v>35</v>
      </c>
      <c r="D20" s="6" t="s">
        <v>47</v>
      </c>
      <c r="E20" s="5" t="s">
        <v>25</v>
      </c>
      <c r="F20" s="5" t="s">
        <v>32</v>
      </c>
      <c r="G20" s="5" t="s">
        <v>17</v>
      </c>
      <c r="H20" s="6"/>
    </row>
    <row r="21" customFormat="false" ht="19.5" hidden="false" customHeight="true" outlineLevel="0" collapsed="false">
      <c r="A21" s="4" t="s">
        <v>48</v>
      </c>
      <c r="B21" s="4"/>
      <c r="C21" s="4"/>
      <c r="D21" s="4"/>
      <c r="E21" s="4"/>
      <c r="F21" s="4"/>
      <c r="G21" s="4"/>
      <c r="H21" s="4"/>
    </row>
    <row r="22" customFormat="false" ht="21.75" hidden="false" customHeight="true" outlineLevel="0" collapsed="false">
      <c r="A22" s="5" t="s">
        <v>49</v>
      </c>
      <c r="B22" s="5" t="s">
        <v>12</v>
      </c>
      <c r="C22" s="6" t="s">
        <v>13</v>
      </c>
      <c r="D22" s="6" t="s">
        <v>50</v>
      </c>
      <c r="E22" s="5" t="s">
        <v>25</v>
      </c>
      <c r="F22" s="5" t="s">
        <v>32</v>
      </c>
      <c r="G22" s="5" t="s">
        <v>17</v>
      </c>
      <c r="H22" s="6"/>
    </row>
    <row r="23" customFormat="false" ht="21.75" hidden="false" customHeight="true" outlineLevel="0" collapsed="false">
      <c r="A23" s="7" t="s">
        <v>49</v>
      </c>
      <c r="B23" s="7" t="s">
        <v>18</v>
      </c>
      <c r="C23" s="8" t="s">
        <v>13</v>
      </c>
      <c r="D23" s="8" t="s">
        <v>51</v>
      </c>
      <c r="E23" s="7" t="s">
        <v>25</v>
      </c>
      <c r="F23" s="7" t="s">
        <v>32</v>
      </c>
      <c r="G23" s="7" t="s">
        <v>17</v>
      </c>
      <c r="H23" s="8"/>
    </row>
    <row r="24" customFormat="false" ht="21.75" hidden="false" customHeight="true" outlineLevel="0" collapsed="false">
      <c r="A24" s="5" t="s">
        <v>49</v>
      </c>
      <c r="B24" s="5" t="s">
        <v>20</v>
      </c>
      <c r="C24" s="6" t="s">
        <v>35</v>
      </c>
      <c r="D24" s="6" t="s">
        <v>52</v>
      </c>
      <c r="E24" s="5" t="s">
        <v>25</v>
      </c>
      <c r="F24" s="5" t="s">
        <v>32</v>
      </c>
      <c r="G24" s="5" t="s">
        <v>17</v>
      </c>
      <c r="H24" s="6"/>
    </row>
    <row r="25" customFormat="false" ht="21.75" hidden="false" customHeight="true" outlineLevel="0" collapsed="false">
      <c r="A25" s="7" t="s">
        <v>49</v>
      </c>
      <c r="B25" s="7" t="s">
        <v>23</v>
      </c>
      <c r="C25" s="8" t="s">
        <v>35</v>
      </c>
      <c r="D25" s="8" t="s">
        <v>53</v>
      </c>
      <c r="E25" s="7" t="s">
        <v>25</v>
      </c>
      <c r="F25" s="7" t="s">
        <v>32</v>
      </c>
      <c r="G25" s="7" t="s">
        <v>17</v>
      </c>
      <c r="H25" s="8"/>
    </row>
    <row r="26" customFormat="false" ht="21.75" hidden="false" customHeight="true" outlineLevel="0" collapsed="false">
      <c r="A26" s="5" t="s">
        <v>49</v>
      </c>
      <c r="B26" s="5" t="s">
        <v>46</v>
      </c>
      <c r="C26" s="6" t="s">
        <v>35</v>
      </c>
      <c r="D26" s="6" t="s">
        <v>54</v>
      </c>
      <c r="E26" s="5" t="s">
        <v>25</v>
      </c>
      <c r="F26" s="5" t="s">
        <v>32</v>
      </c>
      <c r="G26" s="5" t="s">
        <v>17</v>
      </c>
      <c r="H26" s="6"/>
    </row>
    <row r="27" customFormat="false" ht="21.75" hidden="false" customHeight="true" outlineLevel="0" collapsed="false">
      <c r="A27" s="7" t="s">
        <v>49</v>
      </c>
      <c r="B27" s="7" t="s">
        <v>55</v>
      </c>
      <c r="C27" s="8" t="s">
        <v>35</v>
      </c>
      <c r="D27" s="8" t="s">
        <v>56</v>
      </c>
      <c r="E27" s="7" t="s">
        <v>25</v>
      </c>
      <c r="F27" s="7" t="s">
        <v>32</v>
      </c>
      <c r="G27" s="7" t="s">
        <v>17</v>
      </c>
      <c r="H27" s="8"/>
    </row>
    <row r="28" customFormat="false" ht="19.5" hidden="false" customHeight="true" outlineLevel="0" collapsed="false">
      <c r="A28" s="4" t="s">
        <v>57</v>
      </c>
      <c r="B28" s="4"/>
      <c r="C28" s="4"/>
      <c r="D28" s="4"/>
      <c r="E28" s="4"/>
      <c r="F28" s="4"/>
      <c r="G28" s="4"/>
      <c r="H28" s="4"/>
    </row>
    <row r="29" customFormat="false" ht="21.75" hidden="false" customHeight="true" outlineLevel="0" collapsed="false">
      <c r="A29" s="7" t="s">
        <v>58</v>
      </c>
      <c r="B29" s="7" t="s">
        <v>12</v>
      </c>
      <c r="C29" s="8" t="s">
        <v>13</v>
      </c>
      <c r="D29" s="8" t="s">
        <v>59</v>
      </c>
      <c r="E29" s="7" t="s">
        <v>15</v>
      </c>
      <c r="F29" s="7" t="s">
        <v>32</v>
      </c>
      <c r="G29" s="7" t="s">
        <v>17</v>
      </c>
      <c r="H29" s="8"/>
    </row>
    <row r="30" customFormat="false" ht="21.75" hidden="false" customHeight="true" outlineLevel="0" collapsed="false">
      <c r="A30" s="5" t="s">
        <v>58</v>
      </c>
      <c r="B30" s="5" t="s">
        <v>18</v>
      </c>
      <c r="C30" s="6" t="s">
        <v>13</v>
      </c>
      <c r="D30" s="6" t="s">
        <v>60</v>
      </c>
      <c r="E30" s="5" t="s">
        <v>15</v>
      </c>
      <c r="F30" s="5" t="s">
        <v>32</v>
      </c>
      <c r="G30" s="5" t="s">
        <v>17</v>
      </c>
      <c r="H30" s="6"/>
    </row>
    <row r="31" customFormat="false" ht="21.75" hidden="false" customHeight="true" outlineLevel="0" collapsed="false">
      <c r="A31" s="7" t="s">
        <v>58</v>
      </c>
      <c r="B31" s="7" t="s">
        <v>20</v>
      </c>
      <c r="C31" s="8" t="s">
        <v>13</v>
      </c>
      <c r="D31" s="8" t="s">
        <v>61</v>
      </c>
      <c r="E31" s="7" t="s">
        <v>15</v>
      </c>
      <c r="F31" s="7" t="s">
        <v>62</v>
      </c>
      <c r="G31" s="7" t="s">
        <v>17</v>
      </c>
      <c r="H31" s="8" t="s">
        <v>63</v>
      </c>
    </row>
    <row r="32" customFormat="false" ht="21.75" hidden="false" customHeight="true" outlineLevel="0" collapsed="false">
      <c r="A32" s="5" t="s">
        <v>58</v>
      </c>
      <c r="B32" s="5" t="s">
        <v>23</v>
      </c>
      <c r="C32" s="6" t="s">
        <v>35</v>
      </c>
      <c r="D32" s="6" t="s">
        <v>64</v>
      </c>
      <c r="E32" s="5" t="s">
        <v>15</v>
      </c>
      <c r="F32" s="5" t="s">
        <v>62</v>
      </c>
      <c r="G32" s="5" t="s">
        <v>17</v>
      </c>
      <c r="H32" s="6"/>
    </row>
    <row r="33" customFormat="false" ht="19.5" hidden="false" customHeight="true" outlineLevel="0" collapsed="false">
      <c r="A33" s="4" t="s">
        <v>65</v>
      </c>
      <c r="B33" s="4"/>
      <c r="C33" s="4"/>
      <c r="D33" s="4"/>
      <c r="E33" s="4"/>
      <c r="F33" s="4"/>
      <c r="G33" s="4"/>
      <c r="H33" s="4"/>
    </row>
    <row r="34" customFormat="false" ht="21.75" hidden="false" customHeight="true" outlineLevel="0" collapsed="false">
      <c r="A34" s="5" t="s">
        <v>66</v>
      </c>
      <c r="B34" s="5" t="s">
        <v>12</v>
      </c>
      <c r="C34" s="6" t="s">
        <v>13</v>
      </c>
      <c r="D34" s="6" t="s">
        <v>67</v>
      </c>
      <c r="E34" s="5" t="s">
        <v>15</v>
      </c>
      <c r="F34" s="5" t="s">
        <v>32</v>
      </c>
      <c r="G34" s="5" t="s">
        <v>17</v>
      </c>
      <c r="H34" s="6"/>
    </row>
    <row r="35" customFormat="false" ht="21.75" hidden="false" customHeight="true" outlineLevel="0" collapsed="false">
      <c r="A35" s="7" t="s">
        <v>66</v>
      </c>
      <c r="B35" s="7" t="s">
        <v>18</v>
      </c>
      <c r="C35" s="8" t="s">
        <v>35</v>
      </c>
      <c r="D35" s="8" t="s">
        <v>68</v>
      </c>
      <c r="E35" s="7" t="s">
        <v>15</v>
      </c>
      <c r="F35" s="7" t="s">
        <v>32</v>
      </c>
      <c r="G35" s="7" t="s">
        <v>17</v>
      </c>
      <c r="H35" s="8"/>
    </row>
    <row r="36" customFormat="false" ht="19.5" hidden="false" customHeight="true" outlineLevel="0" collapsed="false">
      <c r="A36" s="4" t="s">
        <v>69</v>
      </c>
      <c r="B36" s="4"/>
      <c r="C36" s="4"/>
      <c r="D36" s="4"/>
      <c r="E36" s="4"/>
      <c r="F36" s="4"/>
      <c r="G36" s="4"/>
      <c r="H36" s="4"/>
    </row>
    <row r="37" customFormat="false" ht="21.75" hidden="false" customHeight="true" outlineLevel="0" collapsed="false">
      <c r="A37" s="7" t="s">
        <v>70</v>
      </c>
      <c r="B37" s="7" t="s">
        <v>12</v>
      </c>
      <c r="C37" s="8" t="s">
        <v>13</v>
      </c>
      <c r="D37" s="8" t="s">
        <v>71</v>
      </c>
      <c r="E37" s="7" t="s">
        <v>25</v>
      </c>
      <c r="F37" s="7" t="s">
        <v>16</v>
      </c>
      <c r="G37" s="7" t="s">
        <v>17</v>
      </c>
      <c r="H37" s="8" t="s">
        <v>72</v>
      </c>
    </row>
    <row r="38" customFormat="false" ht="21.75" hidden="false" customHeight="true" outlineLevel="0" collapsed="false">
      <c r="A38" s="5" t="s">
        <v>70</v>
      </c>
      <c r="B38" s="5" t="s">
        <v>18</v>
      </c>
      <c r="C38" s="6" t="s">
        <v>13</v>
      </c>
      <c r="D38" s="6" t="s">
        <v>73</v>
      </c>
      <c r="E38" s="5" t="s">
        <v>15</v>
      </c>
      <c r="F38" s="5" t="s">
        <v>16</v>
      </c>
      <c r="G38" s="5" t="s">
        <v>17</v>
      </c>
      <c r="H38" s="6"/>
    </row>
    <row r="39" customFormat="false" ht="21.75" hidden="false" customHeight="true" outlineLevel="0" collapsed="false">
      <c r="A39" s="7" t="s">
        <v>70</v>
      </c>
      <c r="B39" s="7" t="s">
        <v>20</v>
      </c>
      <c r="C39" s="8" t="s">
        <v>35</v>
      </c>
      <c r="D39" s="8" t="s">
        <v>74</v>
      </c>
      <c r="E39" s="7" t="s">
        <v>15</v>
      </c>
      <c r="F39" s="7" t="s">
        <v>16</v>
      </c>
      <c r="G39" s="7" t="s">
        <v>17</v>
      </c>
      <c r="H39" s="8"/>
    </row>
    <row r="40" customFormat="false" ht="21.75" hidden="false" customHeight="true" outlineLevel="0" collapsed="false">
      <c r="A40" s="5" t="s">
        <v>70</v>
      </c>
      <c r="B40" s="5" t="s">
        <v>23</v>
      </c>
      <c r="C40" s="6" t="s">
        <v>35</v>
      </c>
      <c r="D40" s="6" t="s">
        <v>75</v>
      </c>
      <c r="E40" s="5" t="s">
        <v>15</v>
      </c>
      <c r="F40" s="5" t="s">
        <v>16</v>
      </c>
      <c r="G40" s="5" t="s">
        <v>17</v>
      </c>
      <c r="H40" s="6"/>
    </row>
    <row r="41" customFormat="false" ht="19.5" hidden="false" customHeight="true" outlineLevel="0" collapsed="false">
      <c r="A41" s="4" t="s">
        <v>76</v>
      </c>
      <c r="B41" s="4"/>
      <c r="C41" s="4"/>
      <c r="D41" s="4"/>
      <c r="E41" s="4"/>
      <c r="F41" s="4"/>
      <c r="G41" s="4"/>
      <c r="H41" s="4"/>
    </row>
    <row r="42" customFormat="false" ht="21.75" hidden="false" customHeight="true" outlineLevel="0" collapsed="false">
      <c r="A42" s="5" t="s">
        <v>77</v>
      </c>
      <c r="B42" s="5" t="s">
        <v>12</v>
      </c>
      <c r="C42" s="6" t="s">
        <v>13</v>
      </c>
      <c r="D42" s="6" t="s">
        <v>78</v>
      </c>
      <c r="E42" s="5" t="s">
        <v>25</v>
      </c>
      <c r="F42" s="5" t="s">
        <v>16</v>
      </c>
      <c r="G42" s="5" t="s">
        <v>17</v>
      </c>
      <c r="H42" s="6"/>
    </row>
    <row r="43" customFormat="false" ht="21.75" hidden="false" customHeight="true" outlineLevel="0" collapsed="false">
      <c r="A43" s="7" t="s">
        <v>77</v>
      </c>
      <c r="B43" s="7" t="s">
        <v>18</v>
      </c>
      <c r="C43" s="8" t="s">
        <v>13</v>
      </c>
      <c r="D43" s="8" t="s">
        <v>79</v>
      </c>
      <c r="E43" s="7" t="s">
        <v>25</v>
      </c>
      <c r="F43" s="7" t="s">
        <v>16</v>
      </c>
      <c r="G43" s="7" t="s">
        <v>17</v>
      </c>
      <c r="H43" s="8"/>
    </row>
    <row r="44" customFormat="false" ht="21.75" hidden="false" customHeight="true" outlineLevel="0" collapsed="false">
      <c r="A44" s="5" t="s">
        <v>77</v>
      </c>
      <c r="B44" s="5" t="s">
        <v>20</v>
      </c>
      <c r="C44" s="6" t="s">
        <v>35</v>
      </c>
      <c r="D44" s="6" t="s">
        <v>80</v>
      </c>
      <c r="E44" s="5" t="s">
        <v>15</v>
      </c>
      <c r="F44" s="5" t="s">
        <v>16</v>
      </c>
      <c r="G44" s="5" t="s">
        <v>17</v>
      </c>
      <c r="H44" s="6"/>
    </row>
    <row r="45" customFormat="false" ht="27.75" hidden="false" customHeight="true" outlineLevel="0" collapsed="false">
      <c r="A45" s="9" t="s">
        <v>81</v>
      </c>
      <c r="B45" s="9"/>
      <c r="C45" s="9"/>
      <c r="D45" s="9"/>
      <c r="E45" s="9"/>
      <c r="F45" s="9"/>
      <c r="G45" s="9"/>
      <c r="H45" s="9"/>
    </row>
  </sheetData>
  <mergeCells count="11">
    <mergeCell ref="A1:H1"/>
    <mergeCell ref="A2:H2"/>
    <mergeCell ref="A5:H5"/>
    <mergeCell ref="A10:H10"/>
    <mergeCell ref="A15:H15"/>
    <mergeCell ref="A21:H21"/>
    <mergeCell ref="A28:H28"/>
    <mergeCell ref="A33:H33"/>
    <mergeCell ref="A36:H36"/>
    <mergeCell ref="A41:H41"/>
    <mergeCell ref="A45:H45"/>
  </mergeCells>
  <dataValidations count="2">
    <dataValidation allowBlank="true" errorStyle="stop" operator="between" showDropDown="false" showErrorMessage="false" showInputMessage="false" sqref="C6:C9 C11:C14 C16:C20 C22:C27 C29:C32 C34:C35 C37:C40 C42:C44" type="list">
      <formula1>"🔴 สำคัญมาก,🟡 สำคัญ,🟢 มีดีกว่า"</formula1>
      <formula2>0</formula2>
    </dataValidation>
    <dataValidation allowBlank="true" errorStyle="stop" operator="between" showDropDown="false" showErrorMessage="false" showInputMessage="false" sqref="G6:G9 G11:G14 G16:G20 G22:G27 G29:G32 G34:G35 G37:G40 G42:G44" type="list">
      <formula1>"✅ เสร็จแล้ว,⏳ กำลังเตรียม,❌ ไม่มีข้อมูล,➡️ ไม่เกี่ยวข้อง"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30" hidden="false" customHeight="true" outlineLevel="0" collapsed="false">
      <c r="A1" s="10" t="s">
        <v>82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21.75" hidden="false" customHeight="true" outlineLevel="0" collapsed="false">
      <c r="A2" s="11" t="s">
        <v>83</v>
      </c>
      <c r="B2" s="12" t="s">
        <v>84</v>
      </c>
      <c r="C2" s="12"/>
      <c r="D2" s="12"/>
      <c r="E2" s="11" t="s">
        <v>85</v>
      </c>
      <c r="F2" s="12" t="s">
        <v>86</v>
      </c>
      <c r="G2" s="12"/>
      <c r="H2" s="12"/>
      <c r="I2" s="11" t="s">
        <v>87</v>
      </c>
      <c r="J2" s="12" t="s">
        <v>88</v>
      </c>
      <c r="K2" s="12"/>
      <c r="L2" s="11" t="s">
        <v>89</v>
      </c>
      <c r="M2" s="12" t="s">
        <v>90</v>
      </c>
      <c r="N2" s="12"/>
    </row>
    <row r="3" customFormat="false" ht="24" hidden="false" customHeight="true" outlineLevel="0" collapsed="false">
      <c r="A3" s="13" t="s">
        <v>91</v>
      </c>
      <c r="B3" s="13"/>
      <c r="C3" s="13"/>
      <c r="D3" s="13"/>
      <c r="E3" s="13"/>
      <c r="F3" s="14" t="n">
        <f aca="false">SUMIF(F5:F500,"🟢 รายรับ",I5:I500)</f>
        <v>0</v>
      </c>
      <c r="H3" s="14" t="n">
        <f aca="false">SUMIF(F5:F500,"🔴 รายจ่าย",I5:I500)</f>
        <v>0</v>
      </c>
      <c r="J3" s="14" t="n">
        <f aca="false">F3-H3</f>
        <v>0</v>
      </c>
      <c r="L3" s="14" t="n">
        <f aca="false">IF(F3&gt;0,J3/F3,0)</f>
        <v>0</v>
      </c>
    </row>
    <row r="4" customFormat="false" ht="42" hidden="false" customHeight="true" outlineLevel="0" collapsed="false">
      <c r="A4" s="15" t="s">
        <v>92</v>
      </c>
      <c r="B4" s="15" t="s">
        <v>93</v>
      </c>
      <c r="C4" s="15" t="s">
        <v>94</v>
      </c>
      <c r="D4" s="15" t="s">
        <v>95</v>
      </c>
      <c r="E4" s="15" t="s">
        <v>96</v>
      </c>
      <c r="F4" s="15" t="s">
        <v>97</v>
      </c>
      <c r="G4" s="15" t="s">
        <v>98</v>
      </c>
      <c r="H4" s="15" t="s">
        <v>99</v>
      </c>
      <c r="I4" s="15" t="s">
        <v>100</v>
      </c>
      <c r="J4" s="15" t="s">
        <v>101</v>
      </c>
      <c r="K4" s="15" t="s">
        <v>102</v>
      </c>
      <c r="L4" s="15" t="s">
        <v>103</v>
      </c>
      <c r="M4" s="15" t="s">
        <v>104</v>
      </c>
      <c r="N4" s="15" t="s">
        <v>105</v>
      </c>
    </row>
    <row r="5" customFormat="false" ht="21.75" hidden="false" customHeight="true" outlineLevel="0" collapsed="false">
      <c r="A5" s="7"/>
      <c r="B5" s="7"/>
      <c r="C5" s="7" t="s">
        <v>12</v>
      </c>
      <c r="D5" s="8" t="s">
        <v>106</v>
      </c>
      <c r="E5" s="8" t="s">
        <v>107</v>
      </c>
      <c r="F5" s="7" t="s">
        <v>108</v>
      </c>
      <c r="G5" s="8"/>
      <c r="H5" s="7"/>
      <c r="I5" s="8"/>
      <c r="J5" s="7"/>
      <c r="K5" s="8"/>
      <c r="L5" s="7" t="s">
        <v>109</v>
      </c>
      <c r="M5" s="7" t="s">
        <v>110</v>
      </c>
      <c r="N5" s="8" t="s">
        <v>111</v>
      </c>
    </row>
    <row r="6" customFormat="false" ht="21.75" hidden="false" customHeight="true" outlineLevel="0" collapsed="false">
      <c r="A6" s="5"/>
      <c r="B6" s="5"/>
      <c r="C6" s="5"/>
      <c r="D6" s="6" t="s">
        <v>112</v>
      </c>
      <c r="E6" s="6" t="s">
        <v>113</v>
      </c>
      <c r="F6" s="5" t="s">
        <v>114</v>
      </c>
      <c r="G6" s="6"/>
      <c r="H6" s="5"/>
      <c r="I6" s="6"/>
      <c r="J6" s="5"/>
      <c r="K6" s="6"/>
      <c r="L6" s="5" t="s">
        <v>109</v>
      </c>
      <c r="M6" s="5" t="s">
        <v>115</v>
      </c>
      <c r="N6" s="6" t="s">
        <v>116</v>
      </c>
    </row>
    <row r="7" customFormat="false" ht="21.75" hidden="false" customHeight="true" outlineLevel="0" collapsed="false">
      <c r="A7" s="7"/>
      <c r="B7" s="7"/>
      <c r="C7" s="7"/>
      <c r="D7" s="8" t="s">
        <v>117</v>
      </c>
      <c r="E7" s="8" t="s">
        <v>118</v>
      </c>
      <c r="F7" s="7" t="s">
        <v>114</v>
      </c>
      <c r="G7" s="8"/>
      <c r="H7" s="7"/>
      <c r="I7" s="8"/>
      <c r="J7" s="7"/>
      <c r="K7" s="8"/>
      <c r="L7" s="7" t="s">
        <v>109</v>
      </c>
      <c r="M7" s="7" t="s">
        <v>110</v>
      </c>
      <c r="N7" s="8" t="s">
        <v>119</v>
      </c>
    </row>
    <row r="8" customFormat="false" ht="21.75" hidden="false" customHeight="true" outlineLevel="0" collapsed="false">
      <c r="A8" s="5"/>
      <c r="B8" s="5"/>
      <c r="C8" s="5"/>
      <c r="D8" s="6" t="s">
        <v>120</v>
      </c>
      <c r="E8" s="6" t="s">
        <v>121</v>
      </c>
      <c r="F8" s="5" t="s">
        <v>114</v>
      </c>
      <c r="G8" s="6"/>
      <c r="H8" s="5"/>
      <c r="I8" s="6"/>
      <c r="J8" s="5"/>
      <c r="K8" s="6"/>
      <c r="L8" s="5" t="s">
        <v>122</v>
      </c>
      <c r="M8" s="5" t="s">
        <v>110</v>
      </c>
      <c r="N8" s="6" t="s">
        <v>123</v>
      </c>
    </row>
    <row r="9" customFormat="false" ht="21.75" hidden="false" customHeight="true" outlineLevel="0" collapsed="false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0" customFormat="false" ht="21.75" hidden="false" customHeight="tru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customFormat="false" ht="21.75" hidden="false" customHeight="true" outlineLevel="0" collapsed="false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customFormat="false" ht="21.75" hidden="false" customHeight="tru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customFormat="false" ht="21.75" hidden="false" customHeight="true" outlineLevel="0" collapsed="false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customFormat="false" ht="21.75" hidden="false" customHeight="tru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customFormat="false" ht="21.75" hidden="false" customHeight="true" outlineLevel="0" collapsed="false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customFormat="false" ht="21.75" hidden="false" customHeight="tru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customFormat="false" ht="21.75" hidden="false" customHeight="true" outlineLevel="0" collapsed="false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customFormat="false" ht="21.75" hidden="false" customHeight="tru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customFormat="false" ht="21.75" hidden="false" customHeight="true" outlineLevel="0" collapsed="false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customFormat="false" ht="21.75" hidden="false" customHeight="tru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customFormat="false" ht="21.75" hidden="false" customHeight="true" outlineLevel="0" collapsed="false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customFormat="false" ht="21.75" hidden="false" customHeight="tru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customFormat="false" ht="21.75" hidden="false" customHeight="true" outlineLevel="0" collapsed="false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customFormat="false" ht="21.75" hidden="false" customHeight="tru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customFormat="false" ht="21.75" hidden="false" customHeight="true" outlineLevel="0" collapsed="false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customFormat="false" ht="21.75" hidden="false" customHeight="tru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customFormat="false" ht="21.75" hidden="false" customHeight="true" outlineLevel="0" collapsed="false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customFormat="false" ht="21.75" hidden="false" customHeight="tru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customFormat="false" ht="21.75" hidden="false" customHeight="true" outlineLevel="0" collapsed="false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customFormat="false" ht="21.75" hidden="false" customHeight="tru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customFormat="false" ht="21.75" hidden="false" customHeight="true" outlineLevel="0" collapsed="false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customFormat="false" ht="21.75" hidden="false" customHeight="tru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customFormat="false" ht="21.75" hidden="false" customHeight="true" outlineLevel="0" collapsed="false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customFormat="false" ht="21.75" hidden="false" customHeight="tru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customFormat="false" ht="21.75" hidden="false" customHeight="true" outlineLevel="0" collapsed="false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customFormat="false" ht="21.75" hidden="false" customHeight="tru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customFormat="false" ht="21.75" hidden="false" customHeight="true" outlineLevel="0" collapsed="false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customFormat="false" ht="21.75" hidden="false" customHeight="tru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customFormat="false" ht="21.75" hidden="false" customHeight="true" outlineLevel="0" collapsed="false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customFormat="false" ht="21.75" hidden="false" customHeight="tru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customFormat="false" ht="21.75" hidden="false" customHeight="true" outlineLevel="0" collapsed="false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customFormat="false" ht="21.75" hidden="false" customHeight="tru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customFormat="false" ht="21.75" hidden="false" customHeight="true" outlineLevel="0" collapsed="false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customFormat="false" ht="21.75" hidden="false" customHeight="tru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customFormat="false" ht="21.75" hidden="false" customHeight="true" outlineLevel="0" collapsed="false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customFormat="false" ht="21.75" hidden="false" customHeight="tru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customFormat="false" ht="21.75" hidden="false" customHeight="true" outlineLevel="0" collapsed="false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customFormat="false" ht="21.75" hidden="false" customHeight="tru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customFormat="false" ht="21.75" hidden="false" customHeight="true" outlineLevel="0" collapsed="false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customFormat="false" ht="21.75" hidden="false" customHeight="tru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customFormat="false" ht="21.75" hidden="false" customHeight="true" outlineLevel="0" collapsed="false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customFormat="false" ht="21.75" hidden="false" customHeight="tru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customFormat="false" ht="21.75" hidden="false" customHeight="true" outlineLevel="0" collapsed="false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customFormat="false" ht="21.75" hidden="false" customHeight="tru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customFormat="false" ht="27.75" hidden="false" customHeight="true" outlineLevel="0" collapsed="false">
      <c r="A55" s="18" t="s">
        <v>124</v>
      </c>
      <c r="B55" s="18"/>
      <c r="C55" s="18"/>
      <c r="D55" s="18"/>
      <c r="E55" s="18"/>
      <c r="F55" s="19"/>
      <c r="G55" s="20" t="n">
        <f aca="false">SUM(G5:G54)</f>
        <v>0</v>
      </c>
      <c r="H55" s="20" t="n">
        <f aca="false">SUM(H5:H54)</f>
        <v>0</v>
      </c>
      <c r="I55" s="20" t="n">
        <f aca="false">SUM(I5:I54)</f>
        <v>0</v>
      </c>
      <c r="J55" s="20" t="n">
        <f aca="false">SUM(J5:J54)</f>
        <v>0</v>
      </c>
      <c r="K55" s="20" t="n">
        <f aca="false">SUM(K5:K54)</f>
        <v>0</v>
      </c>
      <c r="L55" s="19"/>
      <c r="M55" s="19"/>
      <c r="N55" s="19"/>
    </row>
  </sheetData>
  <mergeCells count="7">
    <mergeCell ref="A1:N1"/>
    <mergeCell ref="B2:D2"/>
    <mergeCell ref="F2:H2"/>
    <mergeCell ref="J2:K2"/>
    <mergeCell ref="M2:N2"/>
    <mergeCell ref="A3:E3"/>
    <mergeCell ref="A55:E55"/>
  </mergeCells>
  <dataValidations count="4">
    <dataValidation allowBlank="true" errorStyle="stop" operator="between" showDropDown="false" showErrorMessage="false" showInputMessage="false" sqref="F5:F54" type="list">
      <formula1>"🟢 รายรับ,🔴 รายจ่าย"</formula1>
      <formula2>0</formula2>
    </dataValidation>
    <dataValidation allowBlank="true" errorStyle="stop" operator="between" showDropDown="false" showErrorMessage="false" showInputMessage="false" sqref="L5:L54" type="list">
      <formula1>"โอนธนาคาร,เงินสด,เช็ค,K-Biz"</formula1>
      <formula2>0</formula2>
    </dataValidation>
    <dataValidation allowBlank="true" errorStyle="stop" operator="between" showDropDown="false" showErrorMessage="false" showInputMessage="false" sqref="M5:M54" type="list">
      <formula1>"✅ ยื่นแล้ว,⏳ ยังไม่ยื่น,➡️ ไม่ต้องยื่น"</formula1>
      <formula2>0</formula2>
    </dataValidation>
    <dataValidation allowBlank="true" errorStyle="stop" operator="between" showDropDown="false" showErrorMessage="false" showInputMessage="false" sqref="E5:E54" type="list">
      <formula1>"1100-ลูกหนี้การค้า,4100-รายได้รับเหมา,4200-รายได้อื่น,5100-วัสดุก่อสร้าง,5200-ค่าแรงงาน,5300-เช่าเครื่องจักร,5310-ค่าน้ำมัน(หน้างาน),5400-ค่าขนส่ง,5500-เหมาช่วง,5600-ค่าเสื่อมราคา,6100-เงินเดือน,6200-ค่าเช่า,6300-สื่อสาร,6400-ประกันภัย,6500-ซ่อมบำรุง,6600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30" hidden="false" customHeight="true" outlineLevel="0" collapsed="false">
      <c r="A1" s="21" t="s">
        <v>125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1.75" hidden="false" customHeight="true" outlineLevel="0" collapsed="false">
      <c r="A2" s="11" t="s">
        <v>83</v>
      </c>
      <c r="B2" s="12" t="s">
        <v>126</v>
      </c>
      <c r="C2" s="12"/>
      <c r="D2" s="12"/>
      <c r="E2" s="11" t="s">
        <v>85</v>
      </c>
      <c r="F2" s="12" t="s">
        <v>127</v>
      </c>
      <c r="G2" s="12"/>
      <c r="H2" s="12"/>
      <c r="I2" s="11" t="s">
        <v>87</v>
      </c>
      <c r="J2" s="12" t="s">
        <v>128</v>
      </c>
      <c r="K2" s="12"/>
      <c r="L2" s="11" t="s">
        <v>89</v>
      </c>
      <c r="M2" s="12" t="s">
        <v>129</v>
      </c>
      <c r="N2" s="12"/>
    </row>
    <row r="3" customFormat="false" ht="24" hidden="false" customHeight="true" outlineLevel="0" collapsed="false">
      <c r="A3" s="13" t="s">
        <v>91</v>
      </c>
      <c r="B3" s="13"/>
      <c r="C3" s="13"/>
      <c r="D3" s="13"/>
      <c r="E3" s="13"/>
      <c r="F3" s="22" t="n">
        <f aca="false">SUMIF(F5:F500,"🟢 รายรับ",I5:I500)</f>
        <v>0</v>
      </c>
      <c r="H3" s="22" t="n">
        <f aca="false">SUMIF(F5:F500,"🔴 รายจ่าย",I5:I500)</f>
        <v>0</v>
      </c>
      <c r="J3" s="22" t="n">
        <f aca="false">F3-H3</f>
        <v>0</v>
      </c>
      <c r="L3" s="22" t="n">
        <f aca="false">IF(F3&gt;0,J3/F3,0)</f>
        <v>0</v>
      </c>
    </row>
    <row r="4" customFormat="false" ht="42" hidden="false" customHeight="true" outlineLevel="0" collapsed="false">
      <c r="A4" s="15" t="s">
        <v>92</v>
      </c>
      <c r="B4" s="15" t="s">
        <v>93</v>
      </c>
      <c r="C4" s="15" t="s">
        <v>94</v>
      </c>
      <c r="D4" s="15" t="s">
        <v>95</v>
      </c>
      <c r="E4" s="15" t="s">
        <v>96</v>
      </c>
      <c r="F4" s="15" t="s">
        <v>97</v>
      </c>
      <c r="G4" s="15" t="s">
        <v>98</v>
      </c>
      <c r="H4" s="15" t="s">
        <v>99</v>
      </c>
      <c r="I4" s="15" t="s">
        <v>100</v>
      </c>
      <c r="J4" s="15" t="s">
        <v>101</v>
      </c>
      <c r="K4" s="15" t="s">
        <v>102</v>
      </c>
      <c r="L4" s="15" t="s">
        <v>103</v>
      </c>
      <c r="M4" s="15" t="s">
        <v>104</v>
      </c>
      <c r="N4" s="15" t="s">
        <v>105</v>
      </c>
    </row>
    <row r="5" customFormat="false" ht="21.75" hidden="false" customHeight="true" outlineLevel="0" collapsed="false">
      <c r="A5" s="7"/>
      <c r="B5" s="7"/>
      <c r="C5" s="7" t="s">
        <v>12</v>
      </c>
      <c r="D5" s="8" t="s">
        <v>106</v>
      </c>
      <c r="E5" s="8" t="s">
        <v>107</v>
      </c>
      <c r="F5" s="7" t="s">
        <v>108</v>
      </c>
      <c r="G5" s="8"/>
      <c r="H5" s="7"/>
      <c r="I5" s="8"/>
      <c r="J5" s="7"/>
      <c r="K5" s="8"/>
      <c r="L5" s="7" t="s">
        <v>109</v>
      </c>
      <c r="M5" s="7" t="s">
        <v>110</v>
      </c>
      <c r="N5" s="8" t="s">
        <v>111</v>
      </c>
    </row>
    <row r="6" customFormat="false" ht="21.75" hidden="false" customHeight="true" outlineLevel="0" collapsed="false">
      <c r="A6" s="5"/>
      <c r="B6" s="5"/>
      <c r="C6" s="5"/>
      <c r="D6" s="6" t="s">
        <v>112</v>
      </c>
      <c r="E6" s="6" t="s">
        <v>113</v>
      </c>
      <c r="F6" s="5" t="s">
        <v>114</v>
      </c>
      <c r="G6" s="6"/>
      <c r="H6" s="5"/>
      <c r="I6" s="6"/>
      <c r="J6" s="5"/>
      <c r="K6" s="6"/>
      <c r="L6" s="5" t="s">
        <v>109</v>
      </c>
      <c r="M6" s="5" t="s">
        <v>115</v>
      </c>
      <c r="N6" s="6" t="s">
        <v>116</v>
      </c>
    </row>
    <row r="7" customFormat="false" ht="21.75" hidden="false" customHeight="true" outlineLevel="0" collapsed="false">
      <c r="A7" s="7"/>
      <c r="B7" s="7"/>
      <c r="C7" s="7"/>
      <c r="D7" s="8" t="s">
        <v>117</v>
      </c>
      <c r="E7" s="8" t="s">
        <v>118</v>
      </c>
      <c r="F7" s="7" t="s">
        <v>114</v>
      </c>
      <c r="G7" s="8"/>
      <c r="H7" s="7"/>
      <c r="I7" s="8"/>
      <c r="J7" s="7"/>
      <c r="K7" s="8"/>
      <c r="L7" s="7" t="s">
        <v>109</v>
      </c>
      <c r="M7" s="7" t="s">
        <v>110</v>
      </c>
      <c r="N7" s="8" t="s">
        <v>119</v>
      </c>
    </row>
    <row r="8" customFormat="false" ht="21.75" hidden="false" customHeight="true" outlineLevel="0" collapsed="false">
      <c r="A8" s="5"/>
      <c r="B8" s="5"/>
      <c r="C8" s="5"/>
      <c r="D8" s="6" t="s">
        <v>120</v>
      </c>
      <c r="E8" s="6" t="s">
        <v>121</v>
      </c>
      <c r="F8" s="5" t="s">
        <v>114</v>
      </c>
      <c r="G8" s="6"/>
      <c r="H8" s="5"/>
      <c r="I8" s="6"/>
      <c r="J8" s="5"/>
      <c r="K8" s="6"/>
      <c r="L8" s="5" t="s">
        <v>122</v>
      </c>
      <c r="M8" s="5" t="s">
        <v>110</v>
      </c>
      <c r="N8" s="6" t="s">
        <v>123</v>
      </c>
    </row>
    <row r="9" customFormat="false" ht="21.75" hidden="false" customHeight="true" outlineLevel="0" collapsed="false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0" customFormat="false" ht="21.75" hidden="false" customHeight="tru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customFormat="false" ht="21.75" hidden="false" customHeight="true" outlineLevel="0" collapsed="false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customFormat="false" ht="21.75" hidden="false" customHeight="tru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customFormat="false" ht="21.75" hidden="false" customHeight="true" outlineLevel="0" collapsed="false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customFormat="false" ht="21.75" hidden="false" customHeight="tru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customFormat="false" ht="21.75" hidden="false" customHeight="true" outlineLevel="0" collapsed="false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customFormat="false" ht="21.75" hidden="false" customHeight="tru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customFormat="false" ht="21.75" hidden="false" customHeight="true" outlineLevel="0" collapsed="false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customFormat="false" ht="21.75" hidden="false" customHeight="tru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customFormat="false" ht="21.75" hidden="false" customHeight="true" outlineLevel="0" collapsed="false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customFormat="false" ht="21.75" hidden="false" customHeight="tru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customFormat="false" ht="21.75" hidden="false" customHeight="true" outlineLevel="0" collapsed="false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customFormat="false" ht="21.75" hidden="false" customHeight="tru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customFormat="false" ht="21.75" hidden="false" customHeight="true" outlineLevel="0" collapsed="false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customFormat="false" ht="21.75" hidden="false" customHeight="tru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customFormat="false" ht="21.75" hidden="false" customHeight="true" outlineLevel="0" collapsed="false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customFormat="false" ht="21.75" hidden="false" customHeight="tru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customFormat="false" ht="21.75" hidden="false" customHeight="true" outlineLevel="0" collapsed="false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customFormat="false" ht="21.75" hidden="false" customHeight="tru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customFormat="false" ht="21.75" hidden="false" customHeight="true" outlineLevel="0" collapsed="false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customFormat="false" ht="21.75" hidden="false" customHeight="tru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customFormat="false" ht="21.75" hidden="false" customHeight="true" outlineLevel="0" collapsed="false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customFormat="false" ht="21.75" hidden="false" customHeight="tru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customFormat="false" ht="21.75" hidden="false" customHeight="true" outlineLevel="0" collapsed="false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customFormat="false" ht="21.75" hidden="false" customHeight="tru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customFormat="false" ht="21.75" hidden="false" customHeight="true" outlineLevel="0" collapsed="false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customFormat="false" ht="21.75" hidden="false" customHeight="tru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customFormat="false" ht="21.75" hidden="false" customHeight="true" outlineLevel="0" collapsed="false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customFormat="false" ht="21.75" hidden="false" customHeight="tru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customFormat="false" ht="21.75" hidden="false" customHeight="true" outlineLevel="0" collapsed="false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customFormat="false" ht="21.75" hidden="false" customHeight="tru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customFormat="false" ht="21.75" hidden="false" customHeight="true" outlineLevel="0" collapsed="false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customFormat="false" ht="21.75" hidden="false" customHeight="tru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customFormat="false" ht="21.75" hidden="false" customHeight="true" outlineLevel="0" collapsed="false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customFormat="false" ht="21.75" hidden="false" customHeight="tru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customFormat="false" ht="21.75" hidden="false" customHeight="true" outlineLevel="0" collapsed="false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customFormat="false" ht="21.75" hidden="false" customHeight="tru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customFormat="false" ht="21.75" hidden="false" customHeight="true" outlineLevel="0" collapsed="false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customFormat="false" ht="21.75" hidden="false" customHeight="tru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customFormat="false" ht="21.75" hidden="false" customHeight="true" outlineLevel="0" collapsed="false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customFormat="false" ht="21.75" hidden="false" customHeight="tru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customFormat="false" ht="21.75" hidden="false" customHeight="true" outlineLevel="0" collapsed="false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customFormat="false" ht="21.75" hidden="false" customHeight="tru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customFormat="false" ht="21.75" hidden="false" customHeight="true" outlineLevel="0" collapsed="false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customFormat="false" ht="21.75" hidden="false" customHeight="tru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customFormat="false" ht="27.75" hidden="false" customHeight="true" outlineLevel="0" collapsed="false">
      <c r="A55" s="18" t="s">
        <v>124</v>
      </c>
      <c r="B55" s="18"/>
      <c r="C55" s="18"/>
      <c r="D55" s="18"/>
      <c r="E55" s="18"/>
      <c r="F55" s="19"/>
      <c r="G55" s="20" t="n">
        <f aca="false">SUM(G5:G54)</f>
        <v>0</v>
      </c>
      <c r="H55" s="20" t="n">
        <f aca="false">SUM(H5:H54)</f>
        <v>0</v>
      </c>
      <c r="I55" s="20" t="n">
        <f aca="false">SUM(I5:I54)</f>
        <v>0</v>
      </c>
      <c r="J55" s="20" t="n">
        <f aca="false">SUM(J5:J54)</f>
        <v>0</v>
      </c>
      <c r="K55" s="20" t="n">
        <f aca="false">SUM(K5:K54)</f>
        <v>0</v>
      </c>
      <c r="L55" s="19"/>
      <c r="M55" s="19"/>
      <c r="N55" s="19"/>
    </row>
  </sheetData>
  <mergeCells count="7">
    <mergeCell ref="A1:N1"/>
    <mergeCell ref="B2:D2"/>
    <mergeCell ref="F2:H2"/>
    <mergeCell ref="J2:K2"/>
    <mergeCell ref="M2:N2"/>
    <mergeCell ref="A3:E3"/>
    <mergeCell ref="A55:E55"/>
  </mergeCells>
  <dataValidations count="4">
    <dataValidation allowBlank="true" errorStyle="stop" operator="between" showDropDown="false" showErrorMessage="false" showInputMessage="false" sqref="F5:F54" type="list">
      <formula1>"🟢 รายรับ,🔴 รายจ่าย"</formula1>
      <formula2>0</formula2>
    </dataValidation>
    <dataValidation allowBlank="true" errorStyle="stop" operator="between" showDropDown="false" showErrorMessage="false" showInputMessage="false" sqref="L5:L54" type="list">
      <formula1>"โอนธนาคาร,เงินสด,เช็ค,K-Biz"</formula1>
      <formula2>0</formula2>
    </dataValidation>
    <dataValidation allowBlank="true" errorStyle="stop" operator="between" showDropDown="false" showErrorMessage="false" showInputMessage="false" sqref="M5:M54" type="list">
      <formula1>"✅ ยื่นแล้ว,⏳ ยังไม่ยื่น,➡️ ไม่ต้องยื่น"</formula1>
      <formula2>0</formula2>
    </dataValidation>
    <dataValidation allowBlank="true" errorStyle="stop" operator="between" showDropDown="false" showErrorMessage="false" showInputMessage="false" sqref="E5:E54" type="list">
      <formula1>"1100-ลูกหนี้การค้า,4100-รายได้รับเหมา,4200-รายได้อื่น,5100-วัสดุก่อสร้าง,5200-ค่าแรงงาน,5300-เช่าเครื่องจักร,5310-ค่าน้ำมัน(หน้างาน),5400-ค่าขนส่ง,5500-เหมาช่วง,5600-ค่าเสื่อมราคา,6100-เงินเดือน,6200-ค่าเช่า,6300-สื่อสาร,6400-ประกันภัย,6500-ซ่อมบำรุง,6600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11" min="3" style="0" width="14"/>
    <col collapsed="false" customWidth="true" hidden="false" outlineLevel="0" max="12" min="12" style="0" width="18"/>
  </cols>
  <sheetData>
    <row r="1" customFormat="false" ht="34.5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4.75" hidden="false" customHeight="true" outlineLevel="0" collapsed="false">
      <c r="A4" s="23" t="s">
        <v>132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customFormat="false" ht="42" hidden="false" customHeight="true" outlineLevel="0" collapsed="false">
      <c r="A5" s="24" t="s">
        <v>93</v>
      </c>
      <c r="B5" s="24" t="s">
        <v>133</v>
      </c>
      <c r="C5" s="24" t="s">
        <v>134</v>
      </c>
      <c r="D5" s="24" t="s">
        <v>135</v>
      </c>
      <c r="E5" s="24" t="s">
        <v>136</v>
      </c>
      <c r="F5" s="24" t="s">
        <v>137</v>
      </c>
      <c r="G5" s="24" t="s">
        <v>138</v>
      </c>
      <c r="H5" s="24" t="s">
        <v>139</v>
      </c>
      <c r="I5" s="24" t="s">
        <v>140</v>
      </c>
      <c r="J5" s="24" t="s">
        <v>141</v>
      </c>
      <c r="K5" s="24" t="s">
        <v>8</v>
      </c>
      <c r="L5" s="24" t="s">
        <v>9</v>
      </c>
    </row>
    <row r="6" customFormat="false" ht="21.75" hidden="false" customHeight="true" outlineLevel="0" collapsed="false">
      <c r="A6" s="25" t="s">
        <v>142</v>
      </c>
      <c r="B6" s="25" t="s">
        <v>143</v>
      </c>
      <c r="C6" s="26"/>
      <c r="D6" s="26"/>
      <c r="E6" s="26"/>
      <c r="F6" s="26"/>
      <c r="G6" s="26" t="str">
        <f aca="false">IF(C6="","",D6-F6)</f>
        <v/>
      </c>
      <c r="H6" s="25"/>
      <c r="I6" s="25"/>
      <c r="J6" s="26"/>
      <c r="K6" s="25"/>
      <c r="L6" s="26"/>
    </row>
    <row r="7" customFormat="false" ht="21.75" hidden="false" customHeight="true" outlineLevel="0" collapsed="false">
      <c r="A7" s="27" t="s">
        <v>144</v>
      </c>
      <c r="B7" s="27" t="s">
        <v>143</v>
      </c>
      <c r="C7" s="28"/>
      <c r="D7" s="28"/>
      <c r="E7" s="28"/>
      <c r="F7" s="28"/>
      <c r="G7" s="28" t="str">
        <f aca="false">IF(C7="","",D7-F7)</f>
        <v/>
      </c>
      <c r="H7" s="27"/>
      <c r="I7" s="27"/>
      <c r="J7" s="28"/>
      <c r="K7" s="27"/>
      <c r="L7" s="28"/>
    </row>
    <row r="8" customFormat="false" ht="21.75" hidden="false" customHeight="true" outlineLevel="0" collapsed="false">
      <c r="A8" s="25" t="s">
        <v>145</v>
      </c>
      <c r="B8" s="25" t="s">
        <v>143</v>
      </c>
      <c r="C8" s="26"/>
      <c r="D8" s="26"/>
      <c r="E8" s="26"/>
      <c r="F8" s="26"/>
      <c r="G8" s="26" t="str">
        <f aca="false">IF(C8="","",D8-F8)</f>
        <v/>
      </c>
      <c r="H8" s="25"/>
      <c r="I8" s="25"/>
      <c r="J8" s="26"/>
      <c r="K8" s="25"/>
      <c r="L8" s="26"/>
    </row>
    <row r="9" customFormat="false" ht="21.75" hidden="false" customHeight="true" outlineLevel="0" collapsed="false">
      <c r="A9" s="27" t="s">
        <v>146</v>
      </c>
      <c r="B9" s="27" t="s">
        <v>143</v>
      </c>
      <c r="C9" s="28"/>
      <c r="D9" s="28"/>
      <c r="E9" s="28"/>
      <c r="F9" s="28"/>
      <c r="G9" s="28" t="str">
        <f aca="false">IF(C9="","",D9-F9)</f>
        <v/>
      </c>
      <c r="H9" s="27"/>
      <c r="I9" s="27"/>
      <c r="J9" s="28"/>
      <c r="K9" s="27"/>
      <c r="L9" s="28"/>
    </row>
    <row r="10" customFormat="false" ht="21.75" hidden="false" customHeight="true" outlineLevel="0" collapsed="false">
      <c r="A10" s="25" t="s">
        <v>147</v>
      </c>
      <c r="B10" s="25" t="s">
        <v>143</v>
      </c>
      <c r="C10" s="26"/>
      <c r="D10" s="26"/>
      <c r="E10" s="26"/>
      <c r="F10" s="26"/>
      <c r="G10" s="26" t="str">
        <f aca="false">IF(C10="","",D10-F10)</f>
        <v/>
      </c>
      <c r="H10" s="25"/>
      <c r="I10" s="25"/>
      <c r="J10" s="26"/>
      <c r="K10" s="25"/>
      <c r="L10" s="26"/>
    </row>
    <row r="11" customFormat="false" ht="21.75" hidden="false" customHeight="true" outlineLevel="0" collapsed="false">
      <c r="A11" s="27" t="s">
        <v>148</v>
      </c>
      <c r="B11" s="27" t="s">
        <v>143</v>
      </c>
      <c r="C11" s="28"/>
      <c r="D11" s="28"/>
      <c r="E11" s="28"/>
      <c r="F11" s="28"/>
      <c r="G11" s="28" t="str">
        <f aca="false">IF(C11="","",D11-F11)</f>
        <v/>
      </c>
      <c r="H11" s="27"/>
      <c r="I11" s="27"/>
      <c r="J11" s="28"/>
      <c r="K11" s="27"/>
      <c r="L11" s="28"/>
    </row>
    <row r="12" customFormat="false" ht="21.75" hidden="false" customHeight="true" outlineLevel="0" collapsed="false">
      <c r="A12" s="25" t="s">
        <v>149</v>
      </c>
      <c r="B12" s="25" t="s">
        <v>143</v>
      </c>
      <c r="C12" s="26"/>
      <c r="D12" s="26"/>
      <c r="E12" s="26"/>
      <c r="F12" s="26"/>
      <c r="G12" s="26" t="str">
        <f aca="false">IF(C12="","",D12-F12)</f>
        <v/>
      </c>
      <c r="H12" s="25"/>
      <c r="I12" s="25"/>
      <c r="J12" s="26"/>
      <c r="K12" s="25"/>
      <c r="L12" s="26"/>
    </row>
    <row r="13" customFormat="false" ht="21.75" hidden="false" customHeight="true" outlineLevel="0" collapsed="false">
      <c r="A13" s="27" t="s">
        <v>150</v>
      </c>
      <c r="B13" s="27" t="s">
        <v>143</v>
      </c>
      <c r="C13" s="28"/>
      <c r="D13" s="28"/>
      <c r="E13" s="28"/>
      <c r="F13" s="28"/>
      <c r="G13" s="28" t="str">
        <f aca="false">IF(C13="","",D13-F13)</f>
        <v/>
      </c>
      <c r="H13" s="27"/>
      <c r="I13" s="27"/>
      <c r="J13" s="28"/>
      <c r="K13" s="27"/>
      <c r="L13" s="28"/>
    </row>
    <row r="14" customFormat="false" ht="21.75" hidden="false" customHeight="true" outlineLevel="0" collapsed="false">
      <c r="A14" s="25" t="s">
        <v>151</v>
      </c>
      <c r="B14" s="25" t="s">
        <v>143</v>
      </c>
      <c r="C14" s="26"/>
      <c r="D14" s="26"/>
      <c r="E14" s="26"/>
      <c r="F14" s="26"/>
      <c r="G14" s="26" t="str">
        <f aca="false">IF(C14="","",D14-F14)</f>
        <v/>
      </c>
      <c r="H14" s="25"/>
      <c r="I14" s="25"/>
      <c r="J14" s="26"/>
      <c r="K14" s="25"/>
      <c r="L14" s="26"/>
    </row>
    <row r="15" customFormat="false" ht="21.75" hidden="false" customHeight="true" outlineLevel="0" collapsed="false">
      <c r="A15" s="27" t="s">
        <v>152</v>
      </c>
      <c r="B15" s="27" t="s">
        <v>143</v>
      </c>
      <c r="C15" s="28"/>
      <c r="D15" s="28"/>
      <c r="E15" s="28"/>
      <c r="F15" s="28"/>
      <c r="G15" s="28" t="str">
        <f aca="false">IF(C15="","",D15-F15)</f>
        <v/>
      </c>
      <c r="H15" s="27"/>
      <c r="I15" s="27"/>
      <c r="J15" s="28"/>
      <c r="K15" s="27"/>
      <c r="L15" s="28"/>
    </row>
    <row r="16" customFormat="false" ht="21.75" hidden="false" customHeight="true" outlineLevel="0" collapsed="false">
      <c r="A16" s="25" t="s">
        <v>153</v>
      </c>
      <c r="B16" s="25" t="s">
        <v>154</v>
      </c>
      <c r="C16" s="26"/>
      <c r="D16" s="26"/>
      <c r="E16" s="26"/>
      <c r="F16" s="26"/>
      <c r="G16" s="26" t="str">
        <f aca="false">IF(C16="","",D16-F16)</f>
        <v/>
      </c>
      <c r="H16" s="25"/>
      <c r="I16" s="25"/>
      <c r="J16" s="26"/>
      <c r="K16" s="25"/>
      <c r="L16" s="26"/>
    </row>
    <row r="17" customFormat="false" ht="21.75" hidden="false" customHeight="true" outlineLevel="0" collapsed="false">
      <c r="A17" s="27" t="s">
        <v>155</v>
      </c>
      <c r="B17" s="27" t="s">
        <v>154</v>
      </c>
      <c r="C17" s="28"/>
      <c r="D17" s="28"/>
      <c r="E17" s="28"/>
      <c r="F17" s="28"/>
      <c r="G17" s="28" t="str">
        <f aca="false">IF(C17="","",D17-F17)</f>
        <v/>
      </c>
      <c r="H17" s="27"/>
      <c r="I17" s="27"/>
      <c r="J17" s="28"/>
      <c r="K17" s="27"/>
      <c r="L17" s="28"/>
    </row>
    <row r="20" customFormat="false" ht="24.75" hidden="false" customHeight="true" outlineLevel="0" collapsed="false">
      <c r="A20" s="29" t="s">
        <v>156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customFormat="false" ht="42" hidden="false" customHeight="true" outlineLevel="0" collapsed="false">
      <c r="A21" s="24" t="s">
        <v>93</v>
      </c>
      <c r="B21" s="24" t="s">
        <v>133</v>
      </c>
      <c r="C21" s="24" t="s">
        <v>157</v>
      </c>
      <c r="D21" s="24" t="s">
        <v>158</v>
      </c>
      <c r="E21" s="24" t="s">
        <v>159</v>
      </c>
      <c r="F21" s="24" t="s">
        <v>160</v>
      </c>
      <c r="G21" s="24" t="s">
        <v>139</v>
      </c>
      <c r="H21" s="24" t="s">
        <v>140</v>
      </c>
      <c r="I21" s="24" t="s">
        <v>141</v>
      </c>
      <c r="J21" s="24"/>
      <c r="K21" s="24" t="s">
        <v>8</v>
      </c>
      <c r="L21" s="24" t="s">
        <v>9</v>
      </c>
    </row>
    <row r="22" customFormat="false" ht="21.75" hidden="false" customHeight="true" outlineLevel="0" collapsed="false">
      <c r="A22" s="30" t="s">
        <v>142</v>
      </c>
      <c r="B22" s="30" t="s">
        <v>143</v>
      </c>
      <c r="C22" s="30"/>
      <c r="D22" s="31"/>
      <c r="E22" s="31"/>
      <c r="F22" s="31"/>
      <c r="G22" s="30"/>
      <c r="H22" s="30"/>
      <c r="I22" s="31"/>
      <c r="J22" s="31"/>
      <c r="K22" s="30"/>
      <c r="L22" s="31"/>
    </row>
    <row r="23" customFormat="false" ht="21.75" hidden="false" customHeight="true" outlineLevel="0" collapsed="false">
      <c r="A23" s="27" t="s">
        <v>144</v>
      </c>
      <c r="B23" s="27" t="s">
        <v>143</v>
      </c>
      <c r="C23" s="27"/>
      <c r="D23" s="28"/>
      <c r="E23" s="28"/>
      <c r="F23" s="28"/>
      <c r="G23" s="27"/>
      <c r="H23" s="27"/>
      <c r="I23" s="28"/>
      <c r="J23" s="28"/>
      <c r="K23" s="27"/>
      <c r="L23" s="28"/>
    </row>
    <row r="24" customFormat="false" ht="21.75" hidden="false" customHeight="true" outlineLevel="0" collapsed="false">
      <c r="A24" s="30" t="s">
        <v>145</v>
      </c>
      <c r="B24" s="30" t="s">
        <v>143</v>
      </c>
      <c r="C24" s="30"/>
      <c r="D24" s="31"/>
      <c r="E24" s="31"/>
      <c r="F24" s="31"/>
      <c r="G24" s="30"/>
      <c r="H24" s="30"/>
      <c r="I24" s="31"/>
      <c r="J24" s="31"/>
      <c r="K24" s="30"/>
      <c r="L24" s="31"/>
    </row>
    <row r="25" customFormat="false" ht="21.75" hidden="false" customHeight="true" outlineLevel="0" collapsed="false">
      <c r="A25" s="27" t="s">
        <v>146</v>
      </c>
      <c r="B25" s="27" t="s">
        <v>143</v>
      </c>
      <c r="C25" s="27"/>
      <c r="D25" s="28"/>
      <c r="E25" s="28"/>
      <c r="F25" s="28"/>
      <c r="G25" s="27"/>
      <c r="H25" s="27"/>
      <c r="I25" s="28"/>
      <c r="J25" s="28"/>
      <c r="K25" s="27"/>
      <c r="L25" s="28"/>
    </row>
    <row r="26" customFormat="false" ht="21.75" hidden="false" customHeight="true" outlineLevel="0" collapsed="false">
      <c r="A26" s="30" t="s">
        <v>147</v>
      </c>
      <c r="B26" s="30" t="s">
        <v>143</v>
      </c>
      <c r="C26" s="30"/>
      <c r="D26" s="31"/>
      <c r="E26" s="31"/>
      <c r="F26" s="31"/>
      <c r="G26" s="30"/>
      <c r="H26" s="30"/>
      <c r="I26" s="31"/>
      <c r="J26" s="31"/>
      <c r="K26" s="30"/>
      <c r="L26" s="31"/>
    </row>
    <row r="27" customFormat="false" ht="21.75" hidden="false" customHeight="true" outlineLevel="0" collapsed="false">
      <c r="A27" s="27" t="s">
        <v>148</v>
      </c>
      <c r="B27" s="27" t="s">
        <v>143</v>
      </c>
      <c r="C27" s="27"/>
      <c r="D27" s="28"/>
      <c r="E27" s="28"/>
      <c r="F27" s="28"/>
      <c r="G27" s="27"/>
      <c r="H27" s="27"/>
      <c r="I27" s="28"/>
      <c r="J27" s="28"/>
      <c r="K27" s="27"/>
      <c r="L27" s="28"/>
    </row>
    <row r="28" customFormat="false" ht="21.75" hidden="false" customHeight="true" outlineLevel="0" collapsed="false">
      <c r="A28" s="30" t="s">
        <v>149</v>
      </c>
      <c r="B28" s="30" t="s">
        <v>143</v>
      </c>
      <c r="C28" s="30"/>
      <c r="D28" s="31"/>
      <c r="E28" s="31"/>
      <c r="F28" s="31"/>
      <c r="G28" s="30"/>
      <c r="H28" s="30"/>
      <c r="I28" s="31"/>
      <c r="J28" s="31"/>
      <c r="K28" s="30"/>
      <c r="L28" s="31"/>
    </row>
    <row r="29" customFormat="false" ht="21.75" hidden="false" customHeight="true" outlineLevel="0" collapsed="false">
      <c r="A29" s="27" t="s">
        <v>150</v>
      </c>
      <c r="B29" s="27" t="s">
        <v>143</v>
      </c>
      <c r="C29" s="27"/>
      <c r="D29" s="28"/>
      <c r="E29" s="28"/>
      <c r="F29" s="28"/>
      <c r="G29" s="27"/>
      <c r="H29" s="27"/>
      <c r="I29" s="28"/>
      <c r="J29" s="28"/>
      <c r="K29" s="27"/>
      <c r="L29" s="28"/>
    </row>
    <row r="30" customFormat="false" ht="21.75" hidden="false" customHeight="true" outlineLevel="0" collapsed="false">
      <c r="A30" s="30" t="s">
        <v>151</v>
      </c>
      <c r="B30" s="30" t="s">
        <v>143</v>
      </c>
      <c r="C30" s="30"/>
      <c r="D30" s="31"/>
      <c r="E30" s="31"/>
      <c r="F30" s="31"/>
      <c r="G30" s="30"/>
      <c r="H30" s="30"/>
      <c r="I30" s="31"/>
      <c r="J30" s="31"/>
      <c r="K30" s="30"/>
      <c r="L30" s="31"/>
    </row>
    <row r="31" customFormat="false" ht="21.75" hidden="false" customHeight="true" outlineLevel="0" collapsed="false">
      <c r="A31" s="27" t="s">
        <v>152</v>
      </c>
      <c r="B31" s="27" t="s">
        <v>143</v>
      </c>
      <c r="C31" s="27"/>
      <c r="D31" s="28"/>
      <c r="E31" s="28"/>
      <c r="F31" s="28"/>
      <c r="G31" s="27"/>
      <c r="H31" s="27"/>
      <c r="I31" s="28"/>
      <c r="J31" s="28"/>
      <c r="K31" s="27"/>
      <c r="L31" s="28"/>
    </row>
    <row r="32" customFormat="false" ht="21.75" hidden="false" customHeight="true" outlineLevel="0" collapsed="false">
      <c r="A32" s="30" t="s">
        <v>153</v>
      </c>
      <c r="B32" s="30" t="s">
        <v>154</v>
      </c>
      <c r="C32" s="30"/>
      <c r="D32" s="31"/>
      <c r="E32" s="31"/>
      <c r="F32" s="31"/>
      <c r="G32" s="30"/>
      <c r="H32" s="30"/>
      <c r="I32" s="31"/>
      <c r="J32" s="31"/>
      <c r="K32" s="30"/>
      <c r="L32" s="31"/>
    </row>
    <row r="33" customFormat="false" ht="21.75" hidden="false" customHeight="true" outlineLevel="0" collapsed="false">
      <c r="A33" s="27" t="s">
        <v>155</v>
      </c>
      <c r="B33" s="27" t="s">
        <v>154</v>
      </c>
      <c r="C33" s="27"/>
      <c r="D33" s="28"/>
      <c r="E33" s="28"/>
      <c r="F33" s="28"/>
      <c r="G33" s="27"/>
      <c r="H33" s="27"/>
      <c r="I33" s="28"/>
      <c r="J33" s="28"/>
      <c r="K33" s="27"/>
      <c r="L33" s="28"/>
    </row>
  </sheetData>
  <mergeCells count="4">
    <mergeCell ref="A1:L1"/>
    <mergeCell ref="A2:L2"/>
    <mergeCell ref="A4:L4"/>
    <mergeCell ref="A20:L20"/>
  </mergeCells>
  <dataValidations count="3">
    <dataValidation allowBlank="true" errorStyle="stop" operator="between" showDropDown="false" showErrorMessage="false" showInputMessage="false" sqref="K6:K17" type="list">
      <formula1>"✅ ยื่นแล้ว,⏳ ยังไม่ยื่น,❌ เกินกำหนด"</formula1>
      <formula2>0</formula2>
    </dataValidation>
    <dataValidation allowBlank="true" errorStyle="stop" operator="between" showDropDown="false" showErrorMessage="false" showInputMessage="false" sqref="C22:C33" type="list">
      <formula1>"ภ.ง.ด.3 (บุคคลธรรมดา),ภ.ง.ด.53 (นิติบุคคล),ทั้งสองแบบ"</formula1>
      <formula2>0</formula2>
    </dataValidation>
    <dataValidation allowBlank="true" errorStyle="stop" operator="between" showDropDown="false" showErrorMessage="false" showInputMessage="false" sqref="K22:K33" type="list">
      <formula1>"✅ ยื่นแล้ว,⏳ ยังไม่ยื่น,❌ เกินกำหนด"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34.5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162</v>
      </c>
      <c r="B2" s="2"/>
      <c r="C2" s="2"/>
      <c r="D2" s="2"/>
      <c r="E2" s="2"/>
      <c r="F2" s="2"/>
      <c r="G2" s="2"/>
      <c r="H2" s="2"/>
      <c r="I2" s="2"/>
    </row>
    <row r="4" customFormat="false" ht="39.75" hidden="false" customHeight="true" outlineLevel="0" collapsed="false">
      <c r="A4" s="18" t="s">
        <v>2</v>
      </c>
      <c r="B4" s="18" t="s">
        <v>163</v>
      </c>
      <c r="C4" s="18" t="s">
        <v>164</v>
      </c>
      <c r="D4" s="18" t="s">
        <v>165</v>
      </c>
      <c r="E4" s="18" t="s">
        <v>166</v>
      </c>
      <c r="F4" s="18" t="s">
        <v>167</v>
      </c>
      <c r="G4" s="18" t="s">
        <v>168</v>
      </c>
      <c r="H4" s="18" t="s">
        <v>169</v>
      </c>
      <c r="I4" s="18" t="s">
        <v>170</v>
      </c>
    </row>
    <row r="5" customFormat="false" ht="21.75" hidden="false" customHeight="true" outlineLevel="0" collapsed="false">
      <c r="A5" s="27" t="s">
        <v>12</v>
      </c>
      <c r="B5" s="32" t="s">
        <v>171</v>
      </c>
      <c r="C5" s="32" t="s">
        <v>172</v>
      </c>
      <c r="D5" s="33"/>
      <c r="E5" s="33"/>
      <c r="F5" s="32" t="n">
        <f aca="false">D5</f>
        <v>0</v>
      </c>
      <c r="G5" s="27" t="s">
        <v>173</v>
      </c>
      <c r="H5" s="27" t="s">
        <v>174</v>
      </c>
      <c r="I5" s="32" t="s">
        <v>175</v>
      </c>
    </row>
    <row r="6" customFormat="false" ht="21.75" hidden="false" customHeight="true" outlineLevel="0" collapsed="false">
      <c r="A6" s="25" t="s">
        <v>18</v>
      </c>
      <c r="B6" s="34" t="s">
        <v>176</v>
      </c>
      <c r="C6" s="34" t="s">
        <v>177</v>
      </c>
      <c r="D6" s="33"/>
      <c r="E6" s="33"/>
      <c r="F6" s="34" t="n">
        <f aca="false">D6+E6</f>
        <v>0</v>
      </c>
      <c r="G6" s="25" t="s">
        <v>173</v>
      </c>
      <c r="H6" s="25" t="s">
        <v>12</v>
      </c>
      <c r="I6" s="34" t="s">
        <v>178</v>
      </c>
    </row>
    <row r="7" customFormat="false" ht="21.75" hidden="false" customHeight="true" outlineLevel="0" collapsed="false">
      <c r="A7" s="27" t="s">
        <v>20</v>
      </c>
      <c r="B7" s="32" t="s">
        <v>179</v>
      </c>
      <c r="C7" s="32" t="s">
        <v>180</v>
      </c>
      <c r="D7" s="33"/>
      <c r="E7" s="33"/>
      <c r="F7" s="32" t="n">
        <f aca="false">D7+E7</f>
        <v>0</v>
      </c>
      <c r="G7" s="27" t="s">
        <v>173</v>
      </c>
      <c r="H7" s="27" t="s">
        <v>181</v>
      </c>
      <c r="I7" s="32"/>
    </row>
    <row r="8" customFormat="false" ht="21.75" hidden="false" customHeight="true" outlineLevel="0" collapsed="false">
      <c r="A8" s="25" t="s">
        <v>23</v>
      </c>
      <c r="B8" s="34" t="s">
        <v>182</v>
      </c>
      <c r="C8" s="34" t="s">
        <v>180</v>
      </c>
      <c r="D8" s="33"/>
      <c r="E8" s="33"/>
      <c r="F8" s="34" t="n">
        <f aca="false">D8+E8</f>
        <v>0</v>
      </c>
      <c r="G8" s="25" t="s">
        <v>173</v>
      </c>
      <c r="H8" s="25" t="s">
        <v>181</v>
      </c>
      <c r="I8" s="34"/>
    </row>
    <row r="9" customFormat="false" ht="21.75" hidden="false" customHeight="true" outlineLevel="0" collapsed="false">
      <c r="A9" s="27" t="s">
        <v>46</v>
      </c>
      <c r="B9" s="32" t="s">
        <v>183</v>
      </c>
      <c r="C9" s="32" t="s">
        <v>184</v>
      </c>
      <c r="D9" s="33"/>
      <c r="E9" s="33"/>
      <c r="F9" s="32" t="n">
        <f aca="false">D9</f>
        <v>0</v>
      </c>
      <c r="G9" s="27" t="s">
        <v>185</v>
      </c>
      <c r="H9" s="27" t="s">
        <v>186</v>
      </c>
      <c r="I9" s="32" t="s">
        <v>187</v>
      </c>
    </row>
    <row r="10" customFormat="false" ht="21.75" hidden="false" customHeight="true" outlineLevel="0" collapsed="false">
      <c r="A10" s="25" t="s">
        <v>55</v>
      </c>
      <c r="B10" s="34" t="s">
        <v>188</v>
      </c>
      <c r="C10" s="34" t="s">
        <v>184</v>
      </c>
      <c r="D10" s="33"/>
      <c r="E10" s="33"/>
      <c r="F10" s="34" t="n">
        <f aca="false">D10</f>
        <v>0</v>
      </c>
      <c r="G10" s="25" t="s">
        <v>185</v>
      </c>
      <c r="H10" s="25" t="s">
        <v>186</v>
      </c>
      <c r="I10" s="34"/>
    </row>
    <row r="11" customFormat="false" ht="21.75" hidden="false" customHeight="true" outlineLevel="0" collapsed="false">
      <c r="A11" s="27" t="s">
        <v>189</v>
      </c>
      <c r="B11" s="32" t="s">
        <v>190</v>
      </c>
      <c r="C11" s="32" t="s">
        <v>191</v>
      </c>
      <c r="D11" s="33"/>
      <c r="E11" s="33"/>
      <c r="F11" s="32" t="n">
        <f aca="false">D11+E11</f>
        <v>0</v>
      </c>
      <c r="G11" s="27" t="s">
        <v>173</v>
      </c>
      <c r="H11" s="27" t="s">
        <v>186</v>
      </c>
      <c r="I11" s="32"/>
    </row>
    <row r="12" customFormat="false" ht="21.75" hidden="false" customHeight="true" outlineLevel="0" collapsed="false">
      <c r="A12" s="25" t="s">
        <v>192</v>
      </c>
      <c r="B12" s="34" t="s">
        <v>193</v>
      </c>
      <c r="C12" s="34" t="s">
        <v>194</v>
      </c>
      <c r="D12" s="33"/>
      <c r="E12" s="33"/>
      <c r="F12" s="34" t="n">
        <f aca="false">D12+E12</f>
        <v>0</v>
      </c>
      <c r="G12" s="25" t="s">
        <v>173</v>
      </c>
      <c r="H12" s="25" t="s">
        <v>186</v>
      </c>
      <c r="I12" s="34"/>
    </row>
    <row r="13" customFormat="false" ht="21.75" hidden="false" customHeight="true" outlineLevel="0" collapsed="false">
      <c r="A13" s="27" t="s">
        <v>195</v>
      </c>
      <c r="B13" s="32" t="s">
        <v>196</v>
      </c>
      <c r="C13" s="32" t="s">
        <v>197</v>
      </c>
      <c r="D13" s="33"/>
      <c r="E13" s="33"/>
      <c r="F13" s="32" t="n">
        <f aca="false">D13</f>
        <v>0</v>
      </c>
      <c r="G13" s="27" t="s">
        <v>173</v>
      </c>
      <c r="H13" s="27" t="s">
        <v>186</v>
      </c>
      <c r="I13" s="32" t="s">
        <v>198</v>
      </c>
    </row>
    <row r="14" customFormat="false" ht="21.75" hidden="false" customHeight="true" outlineLevel="0" collapsed="false">
      <c r="A14" s="25" t="s">
        <v>181</v>
      </c>
      <c r="B14" s="34" t="s">
        <v>199</v>
      </c>
      <c r="C14" s="34" t="s">
        <v>200</v>
      </c>
      <c r="D14" s="33"/>
      <c r="E14" s="33"/>
      <c r="F14" s="34" t="n">
        <f aca="false">D14</f>
        <v>0</v>
      </c>
      <c r="G14" s="25" t="s">
        <v>173</v>
      </c>
      <c r="H14" s="25" t="s">
        <v>186</v>
      </c>
      <c r="I14" s="34"/>
    </row>
    <row r="15" customFormat="false" ht="21.75" hidden="false" customHeight="true" outlineLevel="0" collapsed="false">
      <c r="A15" s="27" t="s">
        <v>201</v>
      </c>
      <c r="B15" s="32" t="s">
        <v>202</v>
      </c>
      <c r="C15" s="32" t="s">
        <v>203</v>
      </c>
      <c r="D15" s="33"/>
      <c r="E15" s="33"/>
      <c r="F15" s="32" t="n">
        <f aca="false">D15</f>
        <v>0</v>
      </c>
      <c r="G15" s="27" t="s">
        <v>185</v>
      </c>
      <c r="H15" s="27" t="s">
        <v>186</v>
      </c>
      <c r="I15" s="32"/>
    </row>
    <row r="16" customFormat="false" ht="21.75" hidden="false" customHeight="true" outlineLevel="0" collapsed="false">
      <c r="A16" s="25" t="s">
        <v>204</v>
      </c>
      <c r="B16" s="34" t="s">
        <v>205</v>
      </c>
      <c r="C16" s="34" t="s">
        <v>206</v>
      </c>
      <c r="D16" s="33"/>
      <c r="E16" s="33"/>
      <c r="F16" s="34" t="n">
        <f aca="false">D16+E16</f>
        <v>0</v>
      </c>
      <c r="G16" s="25"/>
      <c r="H16" s="25"/>
      <c r="I16" s="34"/>
    </row>
    <row r="17" customFormat="false" ht="27.75" hidden="false" customHeight="true" outlineLevel="0" collapsed="false">
      <c r="A17" s="13" t="s">
        <v>207</v>
      </c>
      <c r="B17" s="13"/>
      <c r="C17" s="13"/>
      <c r="D17" s="13"/>
      <c r="E17" s="13"/>
      <c r="F17" s="35" t="n">
        <f aca="false">SUM(F5:F16)</f>
        <v>0</v>
      </c>
      <c r="G17" s="19"/>
      <c r="H17" s="19"/>
      <c r="I17" s="19"/>
    </row>
  </sheetData>
  <mergeCells count="3">
    <mergeCell ref="A1:I1"/>
    <mergeCell ref="A2:I2"/>
    <mergeCell ref="A17:E17"/>
  </mergeCells>
  <dataValidations count="2">
    <dataValidation allowBlank="true" errorStyle="stop" operator="between" showDropDown="false" showErrorMessage="false" showInputMessage="false" sqref="G5:G16" type="list">
      <formula1>"รายเดือน,ราย 3 เดือน,ราย 6 เดือน,รายปี"</formula1>
      <formula2>0</formula2>
    </dataValidation>
    <dataValidation allowBlank="true" errorStyle="stop" operator="between" showDropDown="false" showErrorMessage="false" showInputMessage="false" sqref="C5:C16" type="list">
      <formula1>"6100-เงินเดือน,6200-ค่าเช่า,6300-สื่อสาร,6400-ประกันภัย,6500-ซ่อมบำรุง,6600-ค่าบริการวิชาชีพ,6700-ดอกเบี้ย,6800-ค่าธรรมเนียม,6900-อื่นๆ,2400-Leas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10" min="9" style="0" width="16"/>
    <col collapsed="false" customWidth="true" hidden="false" outlineLevel="0" max="11" min="11" style="0" width="18"/>
    <col collapsed="false" customWidth="true" hidden="false" outlineLevel="0" max="13" min="12" style="0" width="16"/>
    <col collapsed="false" customWidth="true" hidden="false" outlineLevel="0" max="15" min="14" style="0" width="20"/>
  </cols>
  <sheetData>
    <row r="1" customFormat="false" ht="31.5" hidden="false" customHeight="true" outlineLevel="0" collapsed="false">
      <c r="A1" s="1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1.75" hidden="false" customHeight="true" outlineLevel="0" collapsed="false">
      <c r="A2" s="2" t="s">
        <v>209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1.75" hidden="false" customHeight="true" outlineLevel="0" collapsed="false">
      <c r="A3" s="36" t="s">
        <v>210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5" customFormat="false" ht="49.5" hidden="false" customHeight="true" outlineLevel="0" collapsed="false">
      <c r="A5" s="15" t="s">
        <v>211</v>
      </c>
      <c r="B5" s="15" t="s">
        <v>212</v>
      </c>
      <c r="C5" s="15" t="s">
        <v>97</v>
      </c>
      <c r="D5" s="15" t="s">
        <v>213</v>
      </c>
      <c r="E5" s="15" t="s">
        <v>214</v>
      </c>
      <c r="F5" s="15" t="s">
        <v>215</v>
      </c>
      <c r="G5" s="15" t="s">
        <v>216</v>
      </c>
      <c r="H5" s="15" t="s">
        <v>217</v>
      </c>
      <c r="I5" s="15" t="s">
        <v>218</v>
      </c>
      <c r="J5" s="15" t="s">
        <v>219</v>
      </c>
      <c r="K5" s="15" t="s">
        <v>220</v>
      </c>
      <c r="L5" s="15" t="s">
        <v>221</v>
      </c>
      <c r="M5" s="15" t="s">
        <v>8</v>
      </c>
      <c r="N5" s="15" t="s">
        <v>222</v>
      </c>
      <c r="O5" s="15" t="s">
        <v>223</v>
      </c>
    </row>
    <row r="6" customFormat="false" ht="24" hidden="false" customHeight="true" outlineLevel="0" collapsed="false">
      <c r="A6" s="37" t="s">
        <v>224</v>
      </c>
      <c r="B6" s="38" t="s">
        <v>225</v>
      </c>
      <c r="C6" s="38" t="s">
        <v>226</v>
      </c>
      <c r="D6" s="38" t="s">
        <v>227</v>
      </c>
      <c r="E6" s="38" t="s">
        <v>228</v>
      </c>
      <c r="F6" s="37"/>
      <c r="G6" s="39"/>
      <c r="H6" s="40" t="s">
        <v>192</v>
      </c>
      <c r="I6" s="31" t="str">
        <f aca="false">IF(G6="","",G6/H6)</f>
        <v/>
      </c>
      <c r="J6" s="31" t="str">
        <f aca="true">IF(G6="","",IFERROR((TODAY()-F6)/365*I6,0))</f>
        <v/>
      </c>
      <c r="K6" s="31" t="str">
        <f aca="false">IF(G6="","",G6-J6)</f>
        <v/>
      </c>
      <c r="L6" s="38" t="s">
        <v>229</v>
      </c>
      <c r="M6" s="37" t="s">
        <v>230</v>
      </c>
      <c r="N6" s="37"/>
      <c r="O6" s="38"/>
    </row>
    <row r="7" customFormat="false" ht="24" hidden="false" customHeight="true" outlineLevel="0" collapsed="false">
      <c r="A7" s="7" t="s">
        <v>231</v>
      </c>
      <c r="B7" s="8" t="s">
        <v>232</v>
      </c>
      <c r="C7" s="8" t="s">
        <v>233</v>
      </c>
      <c r="D7" s="8" t="s">
        <v>234</v>
      </c>
      <c r="E7" s="8" t="s">
        <v>228</v>
      </c>
      <c r="F7" s="7"/>
      <c r="G7" s="39"/>
      <c r="H7" s="40" t="s">
        <v>181</v>
      </c>
      <c r="I7" s="31" t="str">
        <f aca="false">IF(G7="","",G7/H7)</f>
        <v/>
      </c>
      <c r="J7" s="31" t="str">
        <f aca="true">IF(G7="","",IFERROR((TODAY()-F7)/365*I7,0))</f>
        <v/>
      </c>
      <c r="K7" s="31" t="str">
        <f aca="false">IF(G7="","",G7-J7)</f>
        <v/>
      </c>
      <c r="L7" s="8" t="s">
        <v>229</v>
      </c>
      <c r="M7" s="7" t="s">
        <v>230</v>
      </c>
      <c r="N7" s="7"/>
      <c r="O7" s="8"/>
    </row>
    <row r="8" customFormat="false" ht="24" hidden="false" customHeight="true" outlineLevel="0" collapsed="false">
      <c r="A8" s="37" t="s">
        <v>235</v>
      </c>
      <c r="B8" s="38" t="s">
        <v>236</v>
      </c>
      <c r="C8" s="38" t="s">
        <v>237</v>
      </c>
      <c r="D8" s="38" t="s">
        <v>238</v>
      </c>
      <c r="E8" s="38" t="s">
        <v>228</v>
      </c>
      <c r="F8" s="37"/>
      <c r="G8" s="39"/>
      <c r="H8" s="40" t="s">
        <v>46</v>
      </c>
      <c r="I8" s="31" t="str">
        <f aca="false">IF(G8="","",G8/H8)</f>
        <v/>
      </c>
      <c r="J8" s="31" t="str">
        <f aca="true">IF(G8="","",IFERROR((TODAY()-F8)/365*I8,0))</f>
        <v/>
      </c>
      <c r="K8" s="31" t="str">
        <f aca="false">IF(G8="","",G8-J8)</f>
        <v/>
      </c>
      <c r="L8" s="38" t="s">
        <v>239</v>
      </c>
      <c r="M8" s="37" t="s">
        <v>230</v>
      </c>
      <c r="N8" s="37"/>
      <c r="O8" s="38"/>
    </row>
    <row r="9" customFormat="false" ht="24" hidden="false" customHeight="true" outlineLevel="0" collapsed="false">
      <c r="A9" s="7" t="s">
        <v>240</v>
      </c>
      <c r="B9" s="8" t="s">
        <v>241</v>
      </c>
      <c r="C9" s="8" t="s">
        <v>241</v>
      </c>
      <c r="D9" s="8" t="s">
        <v>186</v>
      </c>
      <c r="E9" s="8" t="s">
        <v>242</v>
      </c>
      <c r="F9" s="7"/>
      <c r="G9" s="39"/>
      <c r="H9" s="40" t="s">
        <v>189</v>
      </c>
      <c r="I9" s="31" t="str">
        <f aca="false">IF(G9="","",G9/H9)</f>
        <v/>
      </c>
      <c r="J9" s="31" t="str">
        <f aca="true">IF(G9="","",IFERROR((TODAY()-F9)/365*I9,0))</f>
        <v/>
      </c>
      <c r="K9" s="31" t="str">
        <f aca="false">IF(G9="","",G9-J9)</f>
        <v/>
      </c>
      <c r="L9" s="8" t="s">
        <v>243</v>
      </c>
      <c r="M9" s="7" t="s">
        <v>230</v>
      </c>
      <c r="N9" s="7"/>
      <c r="O9" s="8"/>
    </row>
    <row r="10" customFormat="false" ht="24" hidden="false" customHeight="true" outlineLevel="0" collapsed="false">
      <c r="A10" s="37" t="s">
        <v>244</v>
      </c>
      <c r="B10" s="38" t="s">
        <v>245</v>
      </c>
      <c r="C10" s="38" t="s">
        <v>246</v>
      </c>
      <c r="D10" s="38" t="s">
        <v>186</v>
      </c>
      <c r="E10" s="38" t="s">
        <v>242</v>
      </c>
      <c r="F10" s="37"/>
      <c r="G10" s="39"/>
      <c r="H10" s="40" t="s">
        <v>20</v>
      </c>
      <c r="I10" s="31" t="str">
        <f aca="false">IF(G10="","",G10/H10)</f>
        <v/>
      </c>
      <c r="J10" s="31" t="str">
        <f aca="true">IF(G10="","",IFERROR((TODAY()-F10)/365*I10,0))</f>
        <v/>
      </c>
      <c r="K10" s="31" t="str">
        <f aca="false">IF(G10="","",G10-J10)</f>
        <v/>
      </c>
      <c r="L10" s="38" t="s">
        <v>239</v>
      </c>
      <c r="M10" s="37" t="s">
        <v>230</v>
      </c>
      <c r="N10" s="37"/>
      <c r="O10" s="38"/>
    </row>
    <row r="11" customFormat="false" ht="24" hidden="false" customHeight="true" outlineLevel="0" collapsed="false">
      <c r="A11" s="7"/>
      <c r="B11" s="8"/>
      <c r="C11" s="8"/>
      <c r="D11" s="8"/>
      <c r="E11" s="8"/>
      <c r="F11" s="7"/>
      <c r="G11" s="39"/>
      <c r="H11" s="40"/>
      <c r="I11" s="31" t="str">
        <f aca="false">IF(G11="","",G11/H11)</f>
        <v/>
      </c>
      <c r="J11" s="31" t="str">
        <f aca="true">IF(G11="","",IFERROR((TODAY()-F11)/365*I11,0))</f>
        <v/>
      </c>
      <c r="K11" s="31" t="str">
        <f aca="false">IF(G11="","",G11-J11)</f>
        <v/>
      </c>
      <c r="L11" s="8"/>
      <c r="M11" s="7"/>
      <c r="N11" s="7"/>
      <c r="O11" s="8"/>
    </row>
    <row r="12" customFormat="false" ht="24" hidden="false" customHeight="true" outlineLevel="0" collapsed="false">
      <c r="A12" s="37"/>
      <c r="B12" s="38"/>
      <c r="C12" s="38"/>
      <c r="D12" s="38"/>
      <c r="E12" s="38"/>
      <c r="F12" s="37"/>
      <c r="G12" s="39"/>
      <c r="H12" s="40"/>
      <c r="I12" s="31" t="str">
        <f aca="false">IF(G12="","",G12/H12)</f>
        <v/>
      </c>
      <c r="J12" s="31" t="str">
        <f aca="true">IF(G12="","",IFERROR((TODAY()-F12)/365*I12,0))</f>
        <v/>
      </c>
      <c r="K12" s="31" t="str">
        <f aca="false">IF(G12="","",G12-J12)</f>
        <v/>
      </c>
      <c r="L12" s="38"/>
      <c r="M12" s="37"/>
      <c r="N12" s="37"/>
      <c r="O12" s="38"/>
    </row>
    <row r="13" customFormat="false" ht="24" hidden="false" customHeight="true" outlineLevel="0" collapsed="false">
      <c r="A13" s="7"/>
      <c r="B13" s="8"/>
      <c r="C13" s="8"/>
      <c r="D13" s="8"/>
      <c r="E13" s="8"/>
      <c r="F13" s="7"/>
      <c r="G13" s="39"/>
      <c r="H13" s="40"/>
      <c r="I13" s="31" t="str">
        <f aca="false">IF(G13="","",G13/H13)</f>
        <v/>
      </c>
      <c r="J13" s="31" t="str">
        <f aca="true">IF(G13="","",IFERROR((TODAY()-F13)/365*I13,0))</f>
        <v/>
      </c>
      <c r="K13" s="31" t="str">
        <f aca="false">IF(G13="","",G13-J13)</f>
        <v/>
      </c>
      <c r="L13" s="8"/>
      <c r="M13" s="7"/>
      <c r="N13" s="7"/>
      <c r="O13" s="8"/>
    </row>
    <row r="14" customFormat="false" ht="27.75" hidden="false" customHeight="true" outlineLevel="0" collapsed="false">
      <c r="A14" s="13" t="s">
        <v>247</v>
      </c>
      <c r="B14" s="13"/>
      <c r="C14" s="13"/>
      <c r="D14" s="13"/>
      <c r="E14" s="13"/>
      <c r="F14" s="13"/>
      <c r="G14" s="41" t="n">
        <f aca="false">SUM(G6:G13)</f>
        <v>0</v>
      </c>
      <c r="H14" s="19"/>
      <c r="I14" s="41" t="n">
        <f aca="false">SUM(I6:I13)</f>
        <v>0</v>
      </c>
      <c r="J14" s="41" t="n">
        <f aca="false">SUM(J6:J13)</f>
        <v>0</v>
      </c>
      <c r="K14" s="41" t="n">
        <f aca="false">SUM(K6:K13)</f>
        <v>0</v>
      </c>
      <c r="L14" s="19"/>
      <c r="M14" s="19"/>
      <c r="N14" s="19"/>
      <c r="O14" s="19"/>
    </row>
  </sheetData>
  <mergeCells count="4">
    <mergeCell ref="A1:O1"/>
    <mergeCell ref="A2:O2"/>
    <mergeCell ref="A3:O3"/>
    <mergeCell ref="A14:F14"/>
  </mergeCells>
  <dataValidations count="2">
    <dataValidation allowBlank="true" errorStyle="stop" operator="between" showDropDown="false" showErrorMessage="false" showInputMessage="false" sqref="C6:C13" type="list">
      <formula1>"รถยนต์,รถบรรทุก,รถกระบะ,รถตักดิน(Backhoe),รถเกรด,รถบดถนน,ปั้นจั่น,เครื่องผสมคอนกรีต,อุปกรณ์ก่อสร้าง,ครุภัณฑ์สำนักงาน,อื่นๆ"</formula1>
      <formula2>0</formula2>
    </dataValidation>
    <dataValidation allowBlank="true" errorStyle="stop" operator="between" showDropDown="false" showErrorMessage="false" showInputMessage="false" sqref="M6:M13" type="list">
      <formula1>"✅ ใช้งานปกติ,🔧 ซ่อมบำรุง,📦 เก็บในคลัง,❌ ปลดระวาง"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8" min="7" style="0" width="16"/>
  </cols>
  <sheetData>
    <row r="1" customFormat="false" ht="34.5" hidden="false" customHeight="true" outlineLevel="0" collapsed="false">
      <c r="A1" s="1" t="s">
        <v>248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249</v>
      </c>
      <c r="B2" s="2"/>
      <c r="C2" s="2"/>
      <c r="D2" s="2"/>
      <c r="E2" s="2"/>
      <c r="F2" s="2"/>
      <c r="G2" s="2"/>
      <c r="H2" s="2"/>
    </row>
    <row r="4" customFormat="false" ht="45" hidden="false" customHeight="true" outlineLevel="0" collapsed="false">
      <c r="A4" s="18" t="s">
        <v>250</v>
      </c>
      <c r="B4" s="18" t="s">
        <v>251</v>
      </c>
      <c r="C4" s="18" t="s">
        <v>252</v>
      </c>
      <c r="D4" s="18" t="s">
        <v>253</v>
      </c>
      <c r="E4" s="18" t="s">
        <v>254</v>
      </c>
      <c r="F4" s="18" t="s">
        <v>255</v>
      </c>
      <c r="G4" s="18" t="s">
        <v>256</v>
      </c>
      <c r="H4" s="18" t="s">
        <v>257</v>
      </c>
    </row>
    <row r="5" customFormat="false" ht="21.75" hidden="false" customHeight="true" outlineLevel="0" collapsed="false">
      <c r="A5" s="4" t="s">
        <v>258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42" t="s">
        <v>259</v>
      </c>
      <c r="B6" s="38" t="s">
        <v>260</v>
      </c>
      <c r="C6" s="37" t="s">
        <v>261</v>
      </c>
      <c r="D6" s="38" t="s">
        <v>262</v>
      </c>
      <c r="E6" s="37" t="s">
        <v>263</v>
      </c>
      <c r="F6" s="37" t="s">
        <v>264</v>
      </c>
      <c r="G6" s="37" t="s">
        <v>265</v>
      </c>
      <c r="H6" s="37"/>
    </row>
    <row r="7" customFormat="false" ht="24" hidden="false" customHeight="true" outlineLevel="0" collapsed="false">
      <c r="A7" s="42" t="s">
        <v>266</v>
      </c>
      <c r="B7" s="38" t="s">
        <v>267</v>
      </c>
      <c r="C7" s="37" t="s">
        <v>261</v>
      </c>
      <c r="D7" s="38" t="s">
        <v>268</v>
      </c>
      <c r="E7" s="37" t="s">
        <v>263</v>
      </c>
      <c r="F7" s="37" t="s">
        <v>264</v>
      </c>
      <c r="G7" s="37" t="s">
        <v>265</v>
      </c>
      <c r="H7" s="37"/>
    </row>
    <row r="8" customFormat="false" ht="24" hidden="false" customHeight="true" outlineLevel="0" collapsed="false">
      <c r="A8" s="42" t="s">
        <v>269</v>
      </c>
      <c r="B8" s="38" t="s">
        <v>270</v>
      </c>
      <c r="C8" s="37" t="s">
        <v>261</v>
      </c>
      <c r="D8" s="38" t="s">
        <v>271</v>
      </c>
      <c r="E8" s="37" t="s">
        <v>263</v>
      </c>
      <c r="F8" s="37" t="s">
        <v>264</v>
      </c>
      <c r="G8" s="37" t="s">
        <v>272</v>
      </c>
      <c r="H8" s="37" t="s">
        <v>273</v>
      </c>
    </row>
    <row r="9" customFormat="false" ht="24" hidden="false" customHeight="true" outlineLevel="0" collapsed="false">
      <c r="A9" s="42" t="s">
        <v>274</v>
      </c>
      <c r="B9" s="38" t="s">
        <v>275</v>
      </c>
      <c r="C9" s="37" t="s">
        <v>261</v>
      </c>
      <c r="D9" s="38" t="s">
        <v>276</v>
      </c>
      <c r="E9" s="37" t="s">
        <v>263</v>
      </c>
      <c r="F9" s="37" t="s">
        <v>264</v>
      </c>
      <c r="G9" s="37" t="s">
        <v>277</v>
      </c>
      <c r="H9" s="37" t="s">
        <v>273</v>
      </c>
    </row>
    <row r="10" customFormat="false" ht="24" hidden="false" customHeight="true" outlineLevel="0" collapsed="false">
      <c r="A10" s="42" t="s">
        <v>278</v>
      </c>
      <c r="B10" s="38" t="s">
        <v>279</v>
      </c>
      <c r="C10" s="37" t="s">
        <v>261</v>
      </c>
      <c r="D10" s="38" t="s">
        <v>280</v>
      </c>
      <c r="E10" s="37" t="s">
        <v>263</v>
      </c>
      <c r="F10" s="37" t="s">
        <v>264</v>
      </c>
      <c r="G10" s="37" t="s">
        <v>281</v>
      </c>
      <c r="H10" s="37"/>
    </row>
    <row r="11" customFormat="false" ht="24" hidden="false" customHeight="true" outlineLevel="0" collapsed="false">
      <c r="A11" s="42" t="s">
        <v>282</v>
      </c>
      <c r="B11" s="38" t="s">
        <v>283</v>
      </c>
      <c r="C11" s="37" t="s">
        <v>261</v>
      </c>
      <c r="D11" s="38" t="s">
        <v>284</v>
      </c>
      <c r="E11" s="37" t="s">
        <v>263</v>
      </c>
      <c r="F11" s="37" t="s">
        <v>264</v>
      </c>
      <c r="G11" s="37" t="s">
        <v>281</v>
      </c>
      <c r="H11" s="37"/>
    </row>
    <row r="12" customFormat="false" ht="24" hidden="false" customHeight="true" outlineLevel="0" collapsed="false">
      <c r="A12" s="42" t="s">
        <v>285</v>
      </c>
      <c r="B12" s="38" t="s">
        <v>286</v>
      </c>
      <c r="C12" s="37" t="s">
        <v>261</v>
      </c>
      <c r="D12" s="38" t="s">
        <v>287</v>
      </c>
      <c r="E12" s="37" t="s">
        <v>263</v>
      </c>
      <c r="F12" s="37" t="s">
        <v>264</v>
      </c>
      <c r="G12" s="37" t="s">
        <v>281</v>
      </c>
      <c r="H12" s="37"/>
    </row>
    <row r="13" customFormat="false" ht="24" hidden="false" customHeight="true" outlineLevel="0" collapsed="false">
      <c r="A13" s="42" t="s">
        <v>288</v>
      </c>
      <c r="B13" s="38" t="s">
        <v>289</v>
      </c>
      <c r="C13" s="37" t="s">
        <v>261</v>
      </c>
      <c r="D13" s="38" t="s">
        <v>290</v>
      </c>
      <c r="E13" s="37" t="s">
        <v>263</v>
      </c>
      <c r="F13" s="37" t="s">
        <v>264</v>
      </c>
      <c r="G13" s="37" t="s">
        <v>281</v>
      </c>
      <c r="H13" s="37"/>
    </row>
    <row r="14" customFormat="false" ht="21.75" hidden="false" customHeight="true" outlineLevel="0" collapsed="false">
      <c r="A14" s="4" t="s">
        <v>291</v>
      </c>
      <c r="B14" s="4"/>
      <c r="C14" s="4"/>
      <c r="D14" s="4"/>
      <c r="E14" s="4"/>
      <c r="F14" s="4"/>
      <c r="G14" s="4"/>
      <c r="H14" s="4"/>
    </row>
    <row r="15" customFormat="false" ht="24" hidden="false" customHeight="true" outlineLevel="0" collapsed="false">
      <c r="A15" s="43" t="s">
        <v>292</v>
      </c>
      <c r="B15" s="44" t="s">
        <v>293</v>
      </c>
      <c r="C15" s="45" t="s">
        <v>294</v>
      </c>
      <c r="D15" s="44" t="s">
        <v>295</v>
      </c>
      <c r="E15" s="45" t="s">
        <v>263</v>
      </c>
      <c r="F15" s="45" t="s">
        <v>264</v>
      </c>
      <c r="G15" s="45" t="s">
        <v>277</v>
      </c>
      <c r="H15" s="45" t="s">
        <v>273</v>
      </c>
    </row>
    <row r="16" customFormat="false" ht="24" hidden="false" customHeight="true" outlineLevel="0" collapsed="false">
      <c r="A16" s="43" t="s">
        <v>296</v>
      </c>
      <c r="B16" s="44" t="s">
        <v>297</v>
      </c>
      <c r="C16" s="45" t="s">
        <v>294</v>
      </c>
      <c r="D16" s="44" t="s">
        <v>298</v>
      </c>
      <c r="E16" s="45" t="s">
        <v>263</v>
      </c>
      <c r="F16" s="45" t="s">
        <v>264</v>
      </c>
      <c r="G16" s="45" t="s">
        <v>272</v>
      </c>
      <c r="H16" s="45"/>
    </row>
    <row r="17" customFormat="false" ht="24" hidden="false" customHeight="true" outlineLevel="0" collapsed="false">
      <c r="A17" s="43" t="s">
        <v>299</v>
      </c>
      <c r="B17" s="44" t="s">
        <v>300</v>
      </c>
      <c r="C17" s="45" t="s">
        <v>294</v>
      </c>
      <c r="D17" s="44" t="s">
        <v>301</v>
      </c>
      <c r="E17" s="45" t="s">
        <v>263</v>
      </c>
      <c r="F17" s="45" t="s">
        <v>264</v>
      </c>
      <c r="G17" s="45" t="s">
        <v>277</v>
      </c>
      <c r="H17" s="45"/>
    </row>
    <row r="18" customFormat="false" ht="24" hidden="false" customHeight="true" outlineLevel="0" collapsed="false">
      <c r="A18" s="43" t="s">
        <v>302</v>
      </c>
      <c r="B18" s="44" t="s">
        <v>303</v>
      </c>
      <c r="C18" s="45" t="s">
        <v>294</v>
      </c>
      <c r="D18" s="44" t="s">
        <v>304</v>
      </c>
      <c r="E18" s="45" t="s">
        <v>263</v>
      </c>
      <c r="F18" s="45" t="s">
        <v>264</v>
      </c>
      <c r="G18" s="45" t="s">
        <v>272</v>
      </c>
      <c r="H18" s="45" t="s">
        <v>273</v>
      </c>
    </row>
    <row r="19" customFormat="false" ht="24" hidden="false" customHeight="true" outlineLevel="0" collapsed="false">
      <c r="A19" s="43" t="s">
        <v>305</v>
      </c>
      <c r="B19" s="44" t="s">
        <v>306</v>
      </c>
      <c r="C19" s="45" t="s">
        <v>294</v>
      </c>
      <c r="D19" s="44" t="s">
        <v>307</v>
      </c>
      <c r="E19" s="45" t="s">
        <v>263</v>
      </c>
      <c r="F19" s="45" t="s">
        <v>264</v>
      </c>
      <c r="G19" s="45" t="s">
        <v>281</v>
      </c>
      <c r="H19" s="45"/>
    </row>
    <row r="20" customFormat="false" ht="24" hidden="false" customHeight="true" outlineLevel="0" collapsed="false">
      <c r="A20" s="43" t="s">
        <v>308</v>
      </c>
      <c r="B20" s="44" t="s">
        <v>309</v>
      </c>
      <c r="C20" s="45" t="s">
        <v>294</v>
      </c>
      <c r="D20" s="44" t="s">
        <v>310</v>
      </c>
      <c r="E20" s="45" t="s">
        <v>263</v>
      </c>
      <c r="F20" s="45" t="s">
        <v>264</v>
      </c>
      <c r="G20" s="45" t="s">
        <v>281</v>
      </c>
      <c r="H20" s="45"/>
    </row>
    <row r="21" customFormat="false" ht="24" hidden="false" customHeight="true" outlineLevel="0" collapsed="false">
      <c r="A21" s="43" t="s">
        <v>311</v>
      </c>
      <c r="B21" s="44" t="s">
        <v>312</v>
      </c>
      <c r="C21" s="45" t="s">
        <v>294</v>
      </c>
      <c r="D21" s="44" t="s">
        <v>313</v>
      </c>
      <c r="E21" s="45" t="s">
        <v>263</v>
      </c>
      <c r="F21" s="45" t="s">
        <v>264</v>
      </c>
      <c r="G21" s="45" t="s">
        <v>272</v>
      </c>
      <c r="H21" s="45" t="s">
        <v>273</v>
      </c>
    </row>
    <row r="22" customFormat="false" ht="21.75" hidden="false" customHeight="true" outlineLevel="0" collapsed="false">
      <c r="A22" s="4" t="s">
        <v>314</v>
      </c>
      <c r="B22" s="4"/>
      <c r="C22" s="4"/>
      <c r="D22" s="4"/>
      <c r="E22" s="4"/>
      <c r="F22" s="4"/>
      <c r="G22" s="4"/>
      <c r="H22" s="4"/>
    </row>
    <row r="23" customFormat="false" ht="24" hidden="false" customHeight="true" outlineLevel="0" collapsed="false">
      <c r="A23" s="46" t="s">
        <v>315</v>
      </c>
      <c r="B23" s="47" t="s">
        <v>316</v>
      </c>
      <c r="C23" s="48" t="s">
        <v>317</v>
      </c>
      <c r="D23" s="47" t="s">
        <v>318</v>
      </c>
      <c r="E23" s="48" t="s">
        <v>263</v>
      </c>
      <c r="F23" s="48" t="s">
        <v>264</v>
      </c>
      <c r="G23" s="48" t="s">
        <v>281</v>
      </c>
      <c r="H23" s="48"/>
    </row>
    <row r="24" customFormat="false" ht="24" hidden="false" customHeight="true" outlineLevel="0" collapsed="false">
      <c r="A24" s="46" t="s">
        <v>319</v>
      </c>
      <c r="B24" s="47" t="s">
        <v>320</v>
      </c>
      <c r="C24" s="48" t="s">
        <v>317</v>
      </c>
      <c r="D24" s="47" t="s">
        <v>321</v>
      </c>
      <c r="E24" s="48" t="s">
        <v>263</v>
      </c>
      <c r="F24" s="48" t="s">
        <v>264</v>
      </c>
      <c r="G24" s="48" t="s">
        <v>281</v>
      </c>
      <c r="H24" s="48"/>
    </row>
    <row r="25" customFormat="false" ht="21.75" hidden="false" customHeight="true" outlineLevel="0" collapsed="false">
      <c r="A25" s="4" t="s">
        <v>322</v>
      </c>
      <c r="B25" s="4"/>
      <c r="C25" s="4"/>
      <c r="D25" s="4"/>
      <c r="E25" s="4"/>
      <c r="F25" s="4"/>
      <c r="G25" s="4"/>
      <c r="H25" s="4"/>
    </row>
    <row r="26" customFormat="false" ht="24" hidden="false" customHeight="true" outlineLevel="0" collapsed="false">
      <c r="A26" s="49" t="s">
        <v>323</v>
      </c>
      <c r="B26" s="50" t="s">
        <v>324</v>
      </c>
      <c r="C26" s="51" t="s">
        <v>325</v>
      </c>
      <c r="D26" s="50" t="s">
        <v>326</v>
      </c>
      <c r="E26" s="51" t="s">
        <v>327</v>
      </c>
      <c r="F26" s="51" t="s">
        <v>264</v>
      </c>
      <c r="G26" s="51" t="s">
        <v>272</v>
      </c>
      <c r="H26" s="51" t="s">
        <v>273</v>
      </c>
    </row>
    <row r="27" customFormat="false" ht="24" hidden="false" customHeight="true" outlineLevel="0" collapsed="false">
      <c r="A27" s="49" t="s">
        <v>328</v>
      </c>
      <c r="B27" s="50" t="s">
        <v>329</v>
      </c>
      <c r="C27" s="51" t="s">
        <v>325</v>
      </c>
      <c r="D27" s="50" t="s">
        <v>330</v>
      </c>
      <c r="E27" s="51" t="s">
        <v>327</v>
      </c>
      <c r="F27" s="51" t="s">
        <v>264</v>
      </c>
      <c r="G27" s="51" t="s">
        <v>272</v>
      </c>
      <c r="H27" s="51" t="s">
        <v>273</v>
      </c>
    </row>
    <row r="28" customFormat="false" ht="24" hidden="false" customHeight="true" outlineLevel="0" collapsed="false">
      <c r="A28" s="49" t="s">
        <v>331</v>
      </c>
      <c r="B28" s="50" t="s">
        <v>332</v>
      </c>
      <c r="C28" s="51" t="s">
        <v>325</v>
      </c>
      <c r="D28" s="50" t="s">
        <v>333</v>
      </c>
      <c r="E28" s="51" t="s">
        <v>263</v>
      </c>
      <c r="F28" s="51" t="s">
        <v>264</v>
      </c>
      <c r="G28" s="51" t="s">
        <v>334</v>
      </c>
      <c r="H28" s="51"/>
    </row>
    <row r="29" customFormat="false" ht="21.75" hidden="false" customHeight="true" outlineLevel="0" collapsed="false">
      <c r="A29" s="4" t="s">
        <v>335</v>
      </c>
      <c r="B29" s="4"/>
      <c r="C29" s="4"/>
      <c r="D29" s="4"/>
      <c r="E29" s="4"/>
      <c r="F29" s="4"/>
      <c r="G29" s="4"/>
      <c r="H29" s="4"/>
    </row>
    <row r="30" customFormat="false" ht="24" hidden="false" customHeight="true" outlineLevel="0" collapsed="false">
      <c r="A30" s="52" t="s">
        <v>336</v>
      </c>
      <c r="B30" s="39" t="s">
        <v>337</v>
      </c>
      <c r="C30" s="40" t="s">
        <v>338</v>
      </c>
      <c r="D30" s="39" t="s">
        <v>339</v>
      </c>
      <c r="E30" s="40" t="s">
        <v>327</v>
      </c>
      <c r="F30" s="40" t="s">
        <v>340</v>
      </c>
      <c r="G30" s="40" t="s">
        <v>277</v>
      </c>
      <c r="H30" s="40" t="s">
        <v>273</v>
      </c>
    </row>
    <row r="31" customFormat="false" ht="24" hidden="false" customHeight="true" outlineLevel="0" collapsed="false">
      <c r="A31" s="52" t="s">
        <v>341</v>
      </c>
      <c r="B31" s="39" t="s">
        <v>342</v>
      </c>
      <c r="C31" s="40" t="s">
        <v>338</v>
      </c>
      <c r="D31" s="39" t="s">
        <v>343</v>
      </c>
      <c r="E31" s="40" t="s">
        <v>263</v>
      </c>
      <c r="F31" s="40" t="s">
        <v>340</v>
      </c>
      <c r="G31" s="40" t="s">
        <v>277</v>
      </c>
      <c r="H31" s="40" t="s">
        <v>273</v>
      </c>
    </row>
    <row r="32" customFormat="false" ht="24" hidden="false" customHeight="true" outlineLevel="0" collapsed="false">
      <c r="A32" s="52" t="s">
        <v>344</v>
      </c>
      <c r="B32" s="39" t="s">
        <v>345</v>
      </c>
      <c r="C32" s="40" t="s">
        <v>338</v>
      </c>
      <c r="D32" s="39" t="s">
        <v>346</v>
      </c>
      <c r="E32" s="40" t="s">
        <v>263</v>
      </c>
      <c r="F32" s="40" t="s">
        <v>347</v>
      </c>
      <c r="G32" s="40" t="s">
        <v>277</v>
      </c>
      <c r="H32" s="40" t="s">
        <v>273</v>
      </c>
    </row>
    <row r="33" customFormat="false" ht="24" hidden="false" customHeight="true" outlineLevel="0" collapsed="false">
      <c r="A33" s="52" t="s">
        <v>348</v>
      </c>
      <c r="B33" s="39" t="s">
        <v>349</v>
      </c>
      <c r="C33" s="40" t="s">
        <v>338</v>
      </c>
      <c r="D33" s="39" t="s">
        <v>350</v>
      </c>
      <c r="E33" s="40" t="s">
        <v>327</v>
      </c>
      <c r="F33" s="40" t="s">
        <v>347</v>
      </c>
      <c r="G33" s="40" t="s">
        <v>277</v>
      </c>
      <c r="H33" s="40" t="s">
        <v>273</v>
      </c>
    </row>
    <row r="34" customFormat="false" ht="24" hidden="false" customHeight="true" outlineLevel="0" collapsed="false">
      <c r="A34" s="52" t="s">
        <v>351</v>
      </c>
      <c r="B34" s="39" t="s">
        <v>352</v>
      </c>
      <c r="C34" s="40" t="s">
        <v>338</v>
      </c>
      <c r="D34" s="39" t="s">
        <v>353</v>
      </c>
      <c r="E34" s="40" t="s">
        <v>327</v>
      </c>
      <c r="F34" s="40" t="s">
        <v>264</v>
      </c>
      <c r="G34" s="40" t="s">
        <v>354</v>
      </c>
      <c r="H34" s="40" t="s">
        <v>273</v>
      </c>
    </row>
    <row r="35" customFormat="false" ht="24" hidden="false" customHeight="true" outlineLevel="0" collapsed="false">
      <c r="A35" s="52" t="s">
        <v>355</v>
      </c>
      <c r="B35" s="39" t="s">
        <v>356</v>
      </c>
      <c r="C35" s="40" t="s">
        <v>338</v>
      </c>
      <c r="D35" s="39" t="s">
        <v>357</v>
      </c>
      <c r="E35" s="40" t="s">
        <v>327</v>
      </c>
      <c r="F35" s="40" t="s">
        <v>358</v>
      </c>
      <c r="G35" s="40" t="s">
        <v>277</v>
      </c>
      <c r="H35" s="40" t="s">
        <v>273</v>
      </c>
    </row>
    <row r="36" customFormat="false" ht="24" hidden="false" customHeight="true" outlineLevel="0" collapsed="false">
      <c r="A36" s="52" t="s">
        <v>359</v>
      </c>
      <c r="B36" s="39" t="s">
        <v>360</v>
      </c>
      <c r="C36" s="40" t="s">
        <v>338</v>
      </c>
      <c r="D36" s="39" t="s">
        <v>361</v>
      </c>
      <c r="E36" s="40" t="s">
        <v>327</v>
      </c>
      <c r="F36" s="40" t="s">
        <v>340</v>
      </c>
      <c r="G36" s="40" t="s">
        <v>277</v>
      </c>
      <c r="H36" s="40" t="s">
        <v>273</v>
      </c>
    </row>
    <row r="37" customFormat="false" ht="24" hidden="false" customHeight="true" outlineLevel="0" collapsed="false">
      <c r="A37" s="52" t="s">
        <v>362</v>
      </c>
      <c r="B37" s="39" t="s">
        <v>363</v>
      </c>
      <c r="C37" s="40" t="s">
        <v>338</v>
      </c>
      <c r="D37" s="39" t="s">
        <v>364</v>
      </c>
      <c r="E37" s="40" t="s">
        <v>263</v>
      </c>
      <c r="F37" s="40" t="s">
        <v>264</v>
      </c>
      <c r="G37" s="40" t="s">
        <v>281</v>
      </c>
      <c r="H37" s="40" t="s">
        <v>273</v>
      </c>
    </row>
    <row r="38" customFormat="false" ht="24" hidden="false" customHeight="true" outlineLevel="0" collapsed="false">
      <c r="A38" s="52" t="s">
        <v>365</v>
      </c>
      <c r="B38" s="39" t="s">
        <v>366</v>
      </c>
      <c r="C38" s="40" t="s">
        <v>338</v>
      </c>
      <c r="D38" s="39" t="s">
        <v>367</v>
      </c>
      <c r="E38" s="40" t="s">
        <v>327</v>
      </c>
      <c r="F38" s="40" t="s">
        <v>340</v>
      </c>
      <c r="G38" s="40" t="s">
        <v>277</v>
      </c>
      <c r="H38" s="40" t="s">
        <v>273</v>
      </c>
    </row>
    <row r="39" customFormat="false" ht="24" hidden="false" customHeight="true" outlineLevel="0" collapsed="false">
      <c r="A39" s="52" t="s">
        <v>368</v>
      </c>
      <c r="B39" s="39" t="s">
        <v>369</v>
      </c>
      <c r="C39" s="40" t="s">
        <v>338</v>
      </c>
      <c r="D39" s="39" t="s">
        <v>370</v>
      </c>
      <c r="E39" s="40" t="s">
        <v>327</v>
      </c>
      <c r="F39" s="40" t="s">
        <v>264</v>
      </c>
      <c r="G39" s="40" t="s">
        <v>354</v>
      </c>
      <c r="H39" s="40" t="s">
        <v>273</v>
      </c>
    </row>
    <row r="40" customFormat="false" ht="21.75" hidden="false" customHeight="true" outlineLevel="0" collapsed="false">
      <c r="A40" s="4" t="s">
        <v>371</v>
      </c>
      <c r="B40" s="4"/>
      <c r="C40" s="4"/>
      <c r="D40" s="4"/>
      <c r="E40" s="4"/>
      <c r="F40" s="4"/>
      <c r="G40" s="4"/>
      <c r="H40" s="4"/>
    </row>
    <row r="41" customFormat="false" ht="24" hidden="false" customHeight="true" outlineLevel="0" collapsed="false">
      <c r="A41" s="53" t="s">
        <v>372</v>
      </c>
      <c r="B41" s="54" t="s">
        <v>373</v>
      </c>
      <c r="C41" s="55" t="s">
        <v>374</v>
      </c>
      <c r="D41" s="54" t="s">
        <v>375</v>
      </c>
      <c r="E41" s="55" t="s">
        <v>263</v>
      </c>
      <c r="F41" s="55" t="s">
        <v>347</v>
      </c>
      <c r="G41" s="55" t="s">
        <v>277</v>
      </c>
      <c r="H41" s="55"/>
    </row>
    <row r="42" customFormat="false" ht="24" hidden="false" customHeight="true" outlineLevel="0" collapsed="false">
      <c r="A42" s="53" t="s">
        <v>376</v>
      </c>
      <c r="B42" s="54" t="s">
        <v>377</v>
      </c>
      <c r="C42" s="55" t="s">
        <v>374</v>
      </c>
      <c r="D42" s="54" t="s">
        <v>378</v>
      </c>
      <c r="E42" s="55" t="s">
        <v>327</v>
      </c>
      <c r="F42" s="55" t="s">
        <v>347</v>
      </c>
      <c r="G42" s="55" t="s">
        <v>277</v>
      </c>
      <c r="H42" s="55"/>
    </row>
    <row r="43" customFormat="false" ht="24" hidden="false" customHeight="true" outlineLevel="0" collapsed="false">
      <c r="A43" s="53" t="s">
        <v>379</v>
      </c>
      <c r="B43" s="54" t="s">
        <v>380</v>
      </c>
      <c r="C43" s="55" t="s">
        <v>374</v>
      </c>
      <c r="D43" s="54" t="s">
        <v>381</v>
      </c>
      <c r="E43" s="55" t="s">
        <v>327</v>
      </c>
      <c r="F43" s="55" t="s">
        <v>347</v>
      </c>
      <c r="G43" s="55" t="s">
        <v>277</v>
      </c>
      <c r="H43" s="55"/>
    </row>
    <row r="44" customFormat="false" ht="24" hidden="false" customHeight="true" outlineLevel="0" collapsed="false">
      <c r="A44" s="53" t="s">
        <v>382</v>
      </c>
      <c r="B44" s="54" t="s">
        <v>383</v>
      </c>
      <c r="C44" s="55" t="s">
        <v>374</v>
      </c>
      <c r="D44" s="54" t="s">
        <v>384</v>
      </c>
      <c r="E44" s="55" t="s">
        <v>327</v>
      </c>
      <c r="F44" s="55" t="s">
        <v>264</v>
      </c>
      <c r="G44" s="55" t="s">
        <v>277</v>
      </c>
      <c r="H44" s="55"/>
    </row>
    <row r="45" customFormat="false" ht="24" hidden="false" customHeight="true" outlineLevel="0" collapsed="false">
      <c r="A45" s="53" t="s">
        <v>385</v>
      </c>
      <c r="B45" s="54" t="s">
        <v>386</v>
      </c>
      <c r="C45" s="55" t="s">
        <v>374</v>
      </c>
      <c r="D45" s="54" t="s">
        <v>387</v>
      </c>
      <c r="E45" s="55" t="s">
        <v>263</v>
      </c>
      <c r="F45" s="55" t="s">
        <v>358</v>
      </c>
      <c r="G45" s="55" t="s">
        <v>277</v>
      </c>
      <c r="H45" s="55"/>
    </row>
    <row r="46" customFormat="false" ht="24" hidden="false" customHeight="true" outlineLevel="0" collapsed="false">
      <c r="A46" s="53" t="s">
        <v>388</v>
      </c>
      <c r="B46" s="54" t="s">
        <v>389</v>
      </c>
      <c r="C46" s="55" t="s">
        <v>374</v>
      </c>
      <c r="D46" s="54" t="s">
        <v>390</v>
      </c>
      <c r="E46" s="55" t="s">
        <v>327</v>
      </c>
      <c r="F46" s="55" t="s">
        <v>340</v>
      </c>
      <c r="G46" s="55" t="s">
        <v>277</v>
      </c>
      <c r="H46" s="55"/>
    </row>
    <row r="47" customFormat="false" ht="24" hidden="false" customHeight="true" outlineLevel="0" collapsed="false">
      <c r="A47" s="53" t="s">
        <v>391</v>
      </c>
      <c r="B47" s="54" t="s">
        <v>392</v>
      </c>
      <c r="C47" s="55" t="s">
        <v>374</v>
      </c>
      <c r="D47" s="54" t="s">
        <v>393</v>
      </c>
      <c r="E47" s="55" t="s">
        <v>327</v>
      </c>
      <c r="F47" s="55" t="s">
        <v>340</v>
      </c>
      <c r="G47" s="55" t="s">
        <v>277</v>
      </c>
      <c r="H47" s="55"/>
    </row>
    <row r="48" customFormat="false" ht="24" hidden="false" customHeight="true" outlineLevel="0" collapsed="false">
      <c r="A48" s="53" t="s">
        <v>394</v>
      </c>
      <c r="B48" s="54" t="s">
        <v>395</v>
      </c>
      <c r="C48" s="55" t="s">
        <v>374</v>
      </c>
      <c r="D48" s="54" t="s">
        <v>396</v>
      </c>
      <c r="E48" s="55" t="s">
        <v>263</v>
      </c>
      <c r="F48" s="55" t="s">
        <v>264</v>
      </c>
      <c r="G48" s="55" t="s">
        <v>281</v>
      </c>
      <c r="H48" s="55"/>
    </row>
    <row r="49" customFormat="false" ht="24" hidden="false" customHeight="true" outlineLevel="0" collapsed="false">
      <c r="A49" s="53" t="s">
        <v>397</v>
      </c>
      <c r="B49" s="54" t="s">
        <v>398</v>
      </c>
      <c r="C49" s="55" t="s">
        <v>374</v>
      </c>
      <c r="D49" s="54" t="s">
        <v>399</v>
      </c>
      <c r="E49" s="55" t="s">
        <v>263</v>
      </c>
      <c r="F49" s="55" t="s">
        <v>264</v>
      </c>
      <c r="G49" s="55" t="s">
        <v>354</v>
      </c>
      <c r="H49" s="55"/>
    </row>
    <row r="50" customFormat="false" ht="24" hidden="false" customHeight="true" outlineLevel="0" collapsed="false">
      <c r="A50" s="53" t="s">
        <v>400</v>
      </c>
      <c r="B50" s="54" t="s">
        <v>401</v>
      </c>
      <c r="C50" s="55" t="s">
        <v>374</v>
      </c>
      <c r="D50" s="54" t="s">
        <v>402</v>
      </c>
      <c r="E50" s="55" t="s">
        <v>327</v>
      </c>
      <c r="F50" s="55" t="s">
        <v>264</v>
      </c>
      <c r="G50" s="55" t="s">
        <v>354</v>
      </c>
      <c r="H50" s="55"/>
    </row>
    <row r="52" customFormat="false" ht="30" hidden="false" customHeight="true" outlineLevel="0" collapsed="false">
      <c r="A52" s="56" t="s">
        <v>403</v>
      </c>
      <c r="B52" s="56"/>
      <c r="C52" s="56"/>
      <c r="D52" s="56"/>
      <c r="E52" s="56"/>
      <c r="F52" s="56"/>
      <c r="G52" s="56"/>
      <c r="H52" s="56"/>
    </row>
  </sheetData>
  <mergeCells count="9">
    <mergeCell ref="A1:H1"/>
    <mergeCell ref="A2:H2"/>
    <mergeCell ref="A5:H5"/>
    <mergeCell ref="A14:H14"/>
    <mergeCell ref="A22:H22"/>
    <mergeCell ref="A25:H25"/>
    <mergeCell ref="A29:H29"/>
    <mergeCell ref="A40:H40"/>
    <mergeCell ref="A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2026-03-02T05:49:14Z</dcterms:created>
  <dc:creator>openpyxl</dc:creator>
  <dc:description/>
  <dc:language>en-US</dc:language>
  <cp:lastModifiedBy/>
  <dcterms:modified xsi:type="dcterms:W3CDTF">2026-03-02T05:49:14Z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