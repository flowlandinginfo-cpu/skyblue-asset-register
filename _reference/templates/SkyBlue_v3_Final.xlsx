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d.docs.live.net/5bc626aedc3ac1cc/Side Hustles/FlowLanding/Client/Abu Company/Skyblue company/"/>
    </mc:Choice>
  </mc:AlternateContent>
  <xr:revisionPtr revIDLastSave="0" documentId="13_ncr:1_{F0437D0C-A061-5B49-A4EF-110BF8581C4D}" xr6:coauthVersionLast="47" xr6:coauthVersionMax="47" xr10:uidLastSave="{00000000-0000-0000-0000-000000000000}"/>
  <bookViews>
    <workbookView xWindow="0" yWindow="500" windowWidth="28740" windowHeight="15620" tabRatio="500" activeTab="4" xr2:uid="{00000000-000D-0000-FFFF-FFFF00000000}"/>
  </bookViews>
  <sheets>
    <sheet name="✅ Checklist" sheetId="1" r:id="rId1"/>
    <sheet name="💼 Template โปรเจค (Copy ใช้ซ้ำ" sheetId="2" r:id="rId2"/>
    <sheet name="🔁 รายจ่ายประจำ" sheetId="3" r:id="rId3"/>
    <sheet name="🏗️ ทะเบียนทรัพย์สิน" sheetId="4" r:id="rId4"/>
    <sheet name="📊 ผังบัญชี FlowAccou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4" l="1"/>
  <c r="K25" i="4"/>
  <c r="J25" i="4"/>
  <c r="I25" i="4"/>
  <c r="K24" i="4"/>
  <c r="J24" i="4"/>
  <c r="I24" i="4"/>
  <c r="K23" i="4"/>
  <c r="J23" i="4"/>
  <c r="I23" i="4"/>
  <c r="K22" i="4"/>
  <c r="J22" i="4"/>
  <c r="I22" i="4"/>
  <c r="K21" i="4"/>
  <c r="J21" i="4"/>
  <c r="I21" i="4"/>
  <c r="K20" i="4"/>
  <c r="J20" i="4"/>
  <c r="I20" i="4"/>
  <c r="K19" i="4"/>
  <c r="J19" i="4"/>
  <c r="I19" i="4"/>
  <c r="K18" i="4"/>
  <c r="J18" i="4"/>
  <c r="I18" i="4"/>
  <c r="K17" i="4"/>
  <c r="J17" i="4"/>
  <c r="I17" i="4"/>
  <c r="K16" i="4"/>
  <c r="J16" i="4"/>
  <c r="I16" i="4"/>
  <c r="K15" i="4"/>
  <c r="J15" i="4"/>
  <c r="I15" i="4"/>
  <c r="K14" i="4"/>
  <c r="J14" i="4"/>
  <c r="I14" i="4"/>
  <c r="K13" i="4"/>
  <c r="J13" i="4"/>
  <c r="I13" i="4"/>
  <c r="K12" i="4"/>
  <c r="J12" i="4"/>
  <c r="I12" i="4"/>
  <c r="K11" i="4"/>
  <c r="J11" i="4"/>
  <c r="I11" i="4"/>
  <c r="K10" i="4"/>
  <c r="J10" i="4"/>
  <c r="I10" i="4"/>
  <c r="K9" i="4"/>
  <c r="J9" i="4"/>
  <c r="I9" i="4"/>
  <c r="K8" i="4"/>
  <c r="J8" i="4"/>
  <c r="I8" i="4"/>
  <c r="K7" i="4"/>
  <c r="J7" i="4"/>
  <c r="I7" i="4"/>
  <c r="K6" i="4"/>
  <c r="K26" i="4" s="1"/>
  <c r="J6" i="4"/>
  <c r="I6" i="4"/>
  <c r="I26" i="4" s="1"/>
  <c r="F16" i="3"/>
  <c r="F15" i="3"/>
  <c r="F14" i="3"/>
  <c r="F13" i="3"/>
  <c r="F12" i="3"/>
  <c r="F11" i="3"/>
  <c r="F10" i="3"/>
  <c r="F9" i="3"/>
  <c r="F8" i="3"/>
  <c r="F7" i="3"/>
  <c r="F6" i="3"/>
  <c r="F5" i="3"/>
  <c r="F17" i="3" s="1"/>
  <c r="J71" i="2"/>
  <c r="H71" i="2"/>
  <c r="G71" i="2"/>
  <c r="K70" i="2"/>
  <c r="I70" i="2"/>
  <c r="I69" i="2"/>
  <c r="K69" i="2" s="1"/>
  <c r="K68" i="2"/>
  <c r="I68" i="2"/>
  <c r="I67" i="2"/>
  <c r="K67" i="2" s="1"/>
  <c r="K66" i="2"/>
  <c r="I66" i="2"/>
  <c r="I65" i="2"/>
  <c r="K65" i="2" s="1"/>
  <c r="K64" i="2"/>
  <c r="I64" i="2"/>
  <c r="I63" i="2"/>
  <c r="K63" i="2" s="1"/>
  <c r="K62" i="2"/>
  <c r="I62" i="2"/>
  <c r="I61" i="2"/>
  <c r="K61" i="2" s="1"/>
  <c r="K60" i="2"/>
  <c r="I60" i="2"/>
  <c r="I59" i="2"/>
  <c r="K59" i="2" s="1"/>
  <c r="K58" i="2"/>
  <c r="I58" i="2"/>
  <c r="I57" i="2"/>
  <c r="K57" i="2" s="1"/>
  <c r="K56" i="2"/>
  <c r="I56" i="2"/>
  <c r="I55" i="2"/>
  <c r="K55" i="2" s="1"/>
  <c r="K54" i="2"/>
  <c r="I54" i="2"/>
  <c r="I53" i="2"/>
  <c r="K53" i="2" s="1"/>
  <c r="K52" i="2"/>
  <c r="I52" i="2"/>
  <c r="I51" i="2"/>
  <c r="K51" i="2" s="1"/>
  <c r="K50" i="2"/>
  <c r="I50" i="2"/>
  <c r="I49" i="2"/>
  <c r="K49" i="2" s="1"/>
  <c r="K48" i="2"/>
  <c r="I48" i="2"/>
  <c r="I47" i="2"/>
  <c r="K47" i="2" s="1"/>
  <c r="K46" i="2"/>
  <c r="I46" i="2"/>
  <c r="I45" i="2"/>
  <c r="K45" i="2" s="1"/>
  <c r="K44" i="2"/>
  <c r="I44" i="2"/>
  <c r="I43" i="2"/>
  <c r="K43" i="2" s="1"/>
  <c r="K42" i="2"/>
  <c r="I42" i="2"/>
  <c r="I41" i="2"/>
  <c r="K41" i="2" s="1"/>
  <c r="K40" i="2"/>
  <c r="I40" i="2"/>
  <c r="I39" i="2"/>
  <c r="K39" i="2" s="1"/>
  <c r="K38" i="2"/>
  <c r="I38" i="2"/>
  <c r="I37" i="2"/>
  <c r="K37" i="2" s="1"/>
  <c r="K36" i="2"/>
  <c r="I36" i="2"/>
  <c r="I35" i="2"/>
  <c r="K35" i="2" s="1"/>
  <c r="K34" i="2"/>
  <c r="I34" i="2"/>
  <c r="I33" i="2"/>
  <c r="K33" i="2" s="1"/>
  <c r="K32" i="2"/>
  <c r="I32" i="2"/>
  <c r="I31" i="2"/>
  <c r="K31" i="2" s="1"/>
  <c r="K30" i="2"/>
  <c r="I30" i="2"/>
  <c r="I29" i="2"/>
  <c r="K29" i="2" s="1"/>
  <c r="K28" i="2"/>
  <c r="I28" i="2"/>
  <c r="I27" i="2"/>
  <c r="K27" i="2" s="1"/>
  <c r="K26" i="2"/>
  <c r="I26" i="2"/>
  <c r="I25" i="2"/>
  <c r="K25" i="2" s="1"/>
  <c r="K24" i="2"/>
  <c r="I24" i="2"/>
  <c r="I23" i="2"/>
  <c r="K23" i="2" s="1"/>
  <c r="K22" i="2"/>
  <c r="I22" i="2"/>
  <c r="I21" i="2"/>
  <c r="K21" i="2" s="1"/>
  <c r="K20" i="2"/>
  <c r="I20" i="2"/>
  <c r="I19" i="2"/>
  <c r="K19" i="2" s="1"/>
  <c r="K18" i="2"/>
  <c r="I18" i="2"/>
  <c r="I17" i="2"/>
  <c r="K17" i="2" s="1"/>
  <c r="K16" i="2"/>
  <c r="I16" i="2"/>
  <c r="I15" i="2"/>
  <c r="K15" i="2" s="1"/>
  <c r="K14" i="2"/>
  <c r="I14" i="2"/>
  <c r="I13" i="2"/>
  <c r="K13" i="2" s="1"/>
  <c r="K12" i="2"/>
  <c r="I12" i="2"/>
  <c r="I11" i="2"/>
  <c r="K11" i="2" s="1"/>
  <c r="K10" i="2"/>
  <c r="I10" i="2"/>
  <c r="I9" i="2"/>
  <c r="K9" i="2" s="1"/>
  <c r="H3" i="2"/>
  <c r="F3" i="2"/>
  <c r="L3" i="2" s="1"/>
  <c r="J26" i="4" l="1"/>
  <c r="K71" i="2"/>
  <c r="J3" i="2"/>
  <c r="I71" i="2"/>
</calcChain>
</file>

<file path=xl/sharedStrings.xml><?xml version="1.0" encoding="utf-8"?>
<sst xmlns="http://schemas.openxmlformats.org/spreadsheetml/2006/main" count="696" uniqueCount="336">
  <si>
    <t>📋 SKY BLUE CONSTRUCTION — Checklist รายการที่ฝ่ายบัญชีต้องเตรียมส่ง</t>
  </si>
  <si>
    <t>⭐ กรอก ✅ / ⏳ / ❌ ในคอลัมน์ G  |  ส่งเป็นไฟล์ดิจิทัลทั้งหมด  |  ระบุช่วงเวลา 12 เดือน ย้อนหลัง</t>
  </si>
  <si>
    <t>#</t>
  </si>
  <si>
    <t>ลำดับ
ย่อย</t>
  </si>
  <si>
    <t>ความ
สำคัญ</t>
  </si>
  <si>
    <t>รายการที่ต้องเตรียม</t>
  </si>
  <si>
    <t>รูปแบบ
ไฟล์</t>
  </si>
  <si>
    <t>ช่วงเวลา</t>
  </si>
  <si>
    <t>สถานะ</t>
  </si>
  <si>
    <t>หมายเหตุ</t>
  </si>
  <si>
    <t>══  เอกสารบริษัท  ══</t>
  </si>
  <si>
    <t>A</t>
  </si>
  <si>
    <t>1</t>
  </si>
  <si>
    <t>🔴 ต้องมี</t>
  </si>
  <si>
    <t>หนังสือรับรองบริษัท (อายุไม่เกิน 3 เดือน)</t>
  </si>
  <si>
    <t>PDF</t>
  </si>
  <si>
    <t>ปัจจุบัน</t>
  </si>
  <si>
    <t>⏳</t>
  </si>
  <si>
    <t>2</t>
  </si>
  <si>
    <t>ใบทะเบียนภาษีมูลค่าเพิ่ม ภ.พ.20</t>
  </si>
  <si>
    <t>3</t>
  </si>
  <si>
    <t>รายชื่อผู้ถือหุ้น บอจ.5 ล่าสุด</t>
  </si>
  <si>
    <t>ล่าสุด</t>
  </si>
  <si>
    <t>4</t>
  </si>
  <si>
    <t>ข้อมูลบัญชีธนาคารทุกบัญชี (ธนาคาร / เลขบัญชี / ชื่อบัญชี / ใช้เพื่ออะไร)</t>
  </si>
  <si>
    <t>Excel</t>
  </si>
  <si>
    <t>══  สัญญาและรายรับโปรเจค  ══</t>
  </si>
  <si>
    <t>B</t>
  </si>
  <si>
    <t>สำเนาสัญญาจ้างทุกโปรเจค ฉบับเต็ม (รวมงวดงานและเงื่อนไข)</t>
  </si>
  <si>
    <t>ทุกโปรเจค</t>
  </si>
  <si>
    <t>ใบวางบิล/ใบแจ้งหนี้ที่ส่งภาครัฐแต่ละงวด แยกตามโปรเจค</t>
  </si>
  <si>
    <t>12 เดือน</t>
  </si>
  <si>
    <t>หลักฐานรับเงินจากภาครัฐ (Bank Transfer Slip)</t>
  </si>
  <si>
    <t>🟡 สำคัญ</t>
  </si>
  <si>
    <t>รายการงวดงานที่ส่งแล้วแต่ภาครัฐยังไม่โอน (ระบุ: วันส่ง ยอด วันคาดรับ)</t>
  </si>
  <si>
    <t>══  รายจ่ายโปรเจค  ══</t>
  </si>
  <si>
    <t>C</t>
  </si>
  <si>
    <t>ใบเสร็จ/ใบกำกับภาษีค่าวัสดุก่อสร้าง แยกตามโปรเจค</t>
  </si>
  <si>
    <t>PDF/Excel</t>
  </si>
  <si>
    <t>รายการจ่ายค่าแรงงาน (ชื่อ จำนวนวัน อัตราค่าแรง ยอดรวม)</t>
  </si>
  <si>
    <t>ค่าเช่าเครื่องจักร/รถขุด (พร้อมใบเสร็จ)</t>
  </si>
  <si>
    <t>ค่าขนส่งวัสดุก่อสร้าง</t>
  </si>
  <si>
    <t>5</t>
  </si>
  <si>
    <t>ค่าน้ำมันรถ/เครื่องจักรหน้างาน</t>
  </si>
  <si>
    <t>══  รายจ่ายประจำบริษัท  ══</t>
  </si>
  <si>
    <t>D</t>
  </si>
  <si>
    <t>รายการเงินเดือนพนักงานทุกคน (ชื่อ ตำแหน่ง อัตราเงินเดือน)</t>
  </si>
  <si>
    <t>ค่าเช่าสำนักงาน + พื้นที่จอดรถ/เครื่องจักร</t>
  </si>
  <si>
    <t>ค่าโทรศัพท์/อินเทอร์เน็ต</t>
  </si>
  <si>
    <t>ค่าบำรุงรักษา/ซ่อมรถและเครื่องจักร</t>
  </si>
  <si>
    <t>ค่าทำบัญชี (สำนักงานบัญชี ถ้ามี)</t>
  </si>
  <si>
    <t>6</t>
  </si>
  <si>
    <t>ยอด Leasing รถ/เครื่องจักร (งวดรายเดือน + ยอดคงค้าง)</t>
  </si>
  <si>
    <t>══  ภาษี  ══</t>
  </si>
  <si>
    <t>E</t>
  </si>
  <si>
    <t>ภ.พ.30 รายเดือน ทุกเดือน (ระบุสถานะยื่น/ไม่ยื่น และเลขรับ)</t>
  </si>
  <si>
    <t>ภ.ง.ด.3 และ ภ.ง.ด.53 (หัก ณ ที่จ่าย)</t>
  </si>
  <si>
    <t>ภ.ง.ด.50 ภาษีเงินได้นิติบุคคลประจำปี</t>
  </si>
  <si>
    <t>ปีล่าสุด</t>
  </si>
  <si>
    <t>ถ้ายังไม่ยื่นให้ระบุ</t>
  </si>
  <si>
    <t>🟢 มีดีกว่า</t>
  </si>
  <si>
    <t>งบการเงินปีล่าสุด (ถ้าผ่านการตรวจสอบแล้ว)</t>
  </si>
  <si>
    <t>══  Bank Statement  ══</t>
  </si>
  <si>
    <t>F</t>
  </si>
  <si>
    <t>Bank Statement บัญชีธนาคารบริษัท ทุกบัญชี</t>
  </si>
  <si>
    <t>Bank Statement บัญชีส่วนตัว (เฉพาะรายการที่เกี่ยวกับบริษัท)</t>
  </si>
  <si>
    <t>══  ทรัพย์สินบริษัท  ══</t>
  </si>
  <si>
    <t>G</t>
  </si>
  <si>
    <t>กรอกทะเบียนทรัพย์สินใน Sheet 🏗️ ทะเบียนทรัพย์สิน (รถ เครื่องจักร ครุภัณฑ์)</t>
  </si>
  <si>
    <t>สำเนาทะเบียนรถทุกคัน</t>
  </si>
  <si>
    <t>ใบประกันภัยรถ/เครื่องจักร (ระบุวันหมดอายุ)</t>
  </si>
  <si>
    <t>สัญญา Leasing ฉบับเต็ม + ยอดค้างผ่อนปัจจุบัน</t>
  </si>
  <si>
    <t>══  ลูกหนี้ / เจ้าหนี้  ══</t>
  </si>
  <si>
    <t>H</t>
  </si>
  <si>
    <t>รายการลูกหนี้ค้างชำระ: งวดไหน โปรเจคไหน ยอดเท่าไหร่ วันคาดรับ</t>
  </si>
  <si>
    <t>รายการเจ้าหนี้ค้างชำระ: ซัพพลายเออร์ ยอดรวม วันที่ต้องจ่าย</t>
  </si>
  <si>
    <t>สัญญาเงินกู้ (ถ้ามี): ยอดคงค้าง ดอกเบี้ย งวดผ่อน</t>
  </si>
  <si>
    <t>📌 🔴 ต้องมีก่อนเปิดระบบ  |  🟡 สำคัญ ช่วยให้ข้อมูลสมบูรณ์  |  🟢 มีดีกว่า เพิ่มความแม่นยำ  |  ส่งเป็น Digital File เท่านั้น</t>
  </si>
  <si>
    <t>💼 [ชื่อโปรเจค] — บันทึกรายรับ-รายจ่ายประจำโปรเจค  ⚡ Copy Sheet นี้ทีละ 1 โปรเจค</t>
  </si>
  <si>
    <t>เลขที่สัญญา :</t>
  </si>
  <si>
    <t>[กรอก]</t>
  </si>
  <si>
    <t>มูลค่าสัญญา :</t>
  </si>
  <si>
    <t>วันที่เริ่ม :</t>
  </si>
  <si>
    <t>คู่สัญญา :</t>
  </si>
  <si>
    <t>📊 สรุปอัตโนมัติ</t>
  </si>
  <si>
    <t>📝 วิธีกรอก: วันที่ → งวดที่ → รายละเอียด → หมวดบัญชี → ประเภท (รับ/จ่าย) → ยอดก่อน VAT → VAT → ยอดสุทธิ | Dropdown ทุกช่องที่มีสี</t>
  </si>
  <si>
    <t>วันที่
(ว/ด/ป)</t>
  </si>
  <si>
    <t>เดือน
(YYYY-MM)</t>
  </si>
  <si>
    <t>งวดที่
(ถ้ามี)</t>
  </si>
  <si>
    <t>รายการ / รายละเอียด</t>
  </si>
  <si>
    <t>หมวดบัญชี
(รหัส FlowAccount)</t>
  </si>
  <si>
    <t>ประเภท</t>
  </si>
  <si>
    <t>ยอดก่อน VAT
(บาท)</t>
  </si>
  <si>
    <t>VAT 7%
(บาท)</t>
  </si>
  <si>
    <t>ยอดสุทธิ
(บาท)</t>
  </si>
  <si>
    <t>หัก ณ ที่จ่าย
(บาท)</t>
  </si>
  <si>
    <t>ยอดรับ/จ่าย
จริง (บาท)</t>
  </si>
  <si>
    <t>ช่องทาง
ชำระ</t>
  </si>
  <si>
    <t>เลขที่เอกสาร
/ ใบเสร็จ</t>
  </si>
  <si>
    <t>[ตัวอย่าง] รับเงินงวดที่ 1 จากภาครัฐ</t>
  </si>
  <si>
    <t>4100-รายได้รับเหมา</t>
  </si>
  <si>
    <t>🟢 รายรับ</t>
  </si>
  <si>
    <t>โอนธนาคาร</t>
  </si>
  <si>
    <t>INV-001/68</t>
  </si>
  <si>
    <t>[ตัวอย่าง] ค่าวัสดุก่อสร้าง ปูน+หิน+เหล็ก</t>
  </si>
  <si>
    <t>5100-วัสดุก่อสร้าง</t>
  </si>
  <si>
    <t>🔴 รายจ่าย</t>
  </si>
  <si>
    <t>PO-001/68</t>
  </si>
  <si>
    <t>[ตัวอย่าง] ค่าแรงงาน ประจำสัปดาห์</t>
  </si>
  <si>
    <t>5200-ค่าแรงงาน</t>
  </si>
  <si>
    <t>เงินสด</t>
  </si>
  <si>
    <t>PAY-001/68</t>
  </si>
  <si>
    <t>รวมทั้งหมด</t>
  </si>
  <si>
    <t>🔁 SKY BLUE CONSTRUCTION — ทะเบียนรายจ่ายประจำ (Recurring Expenses)</t>
  </si>
  <si>
    <t>นำรายการนี้ไปตั้งเป็น Recurring Bill ใน FlowAccount  |  อัปเดตทุกปีหรือเมื่อมีการเปลี่ยนแปลง</t>
  </si>
  <si>
    <t>รายการ</t>
  </si>
  <si>
    <t>รหัสบัญชี FlowAccount</t>
  </si>
  <si>
    <t>จำนวน
(บาท/งวด)</t>
  </si>
  <si>
    <t>VAT
(บาท)</t>
  </si>
  <si>
    <t>รวมสุทธิ
(บาท)</t>
  </si>
  <si>
    <t>ความถี่</t>
  </si>
  <si>
    <t>วันที่จ่าย
(ของเดือน)</t>
  </si>
  <si>
    <t>ผู้รับเงิน / หมายเหตุ</t>
  </si>
  <si>
    <t>เงินเดือนพนักงานประจำ (รวมทุกคน)</t>
  </si>
  <si>
    <t>6100-เงินเดือน</t>
  </si>
  <si>
    <t>รายเดือน</t>
  </si>
  <si>
    <t>28</t>
  </si>
  <si>
    <t>จ่ายผ่านบัญชีธนาคาร</t>
  </si>
  <si>
    <t>ค่าเช่าสำนักงานใหญ่</t>
  </si>
  <si>
    <t>6200-ค่าเช่า</t>
  </si>
  <si>
    <t>[ชื่อเจ้าของที่ดิน]</t>
  </si>
  <si>
    <t>ค่าเช่าพื้นที่จอดรถ/เครื่องจักร/คลัง</t>
  </si>
  <si>
    <t>6210-เช่าพื้นที่จอดเครื่องจักร</t>
  </si>
  <si>
    <t>ค่าโทรศัพท์มือถือ (กิจการ)</t>
  </si>
  <si>
    <t>6300-สื่อสาร</t>
  </si>
  <si>
    <t>10</t>
  </si>
  <si>
    <t>AIS/True/DTAC</t>
  </si>
  <si>
    <t>ค่าอินเทอร์เน็ตสำนักงาน</t>
  </si>
  <si>
    <t>ค่าประกันภัยรถยนต์/เครื่องจักร</t>
  </si>
  <si>
    <t>6400-ประกันภัย</t>
  </si>
  <si>
    <t>รายปี</t>
  </si>
  <si>
    <t>[ระบุ]</t>
  </si>
  <si>
    <t>แยกรายคันใน Sheet ทรัพย์สิน</t>
  </si>
  <si>
    <t>7</t>
  </si>
  <si>
    <t>6500-ซ่อมบำรุง</t>
  </si>
  <si>
    <t>ประมาณการรายเดือน</t>
  </si>
  <si>
    <t>8</t>
  </si>
  <si>
    <t>ค่าทำบัญชี (สำนักงานบัญชี)</t>
  </si>
  <si>
    <t>6600-บริการวิชาชีพ</t>
  </si>
  <si>
    <t>9</t>
  </si>
  <si>
    <t>Leasing รถยนต์/เครื่องจักร</t>
  </si>
  <si>
    <t>2500-Leasing</t>
  </si>
  <si>
    <t>[บริษัท Leasing] ใส่ยอดงวด</t>
  </si>
  <si>
    <t>ดอกเบี้ยเงินกู้ธนาคาร (ถ้ามี)</t>
  </si>
  <si>
    <t>6700-ดอกเบี้ย</t>
  </si>
  <si>
    <t>11</t>
  </si>
  <si>
    <t>ค่าธรรมเนียม/ใบอนุญาตก่อสร้าง</t>
  </si>
  <si>
    <t>6800-ค่าธรรมเนียม</t>
  </si>
  <si>
    <t>12</t>
  </si>
  <si>
    <t>อื่นๆ (ระบุเพิ่ม)</t>
  </si>
  <si>
    <t>6900-อื่นๆ</t>
  </si>
  <si>
    <t>รวมรายจ่ายประจำ / เดือน</t>
  </si>
  <si>
    <t>🏗️ SKY BLUE CONSTRUCTION — ทะเบียนทรัพย์สินถาวร (Fixed Asset Register)</t>
  </si>
  <si>
    <t>รถ | เครื่องจักร | อุปกรณ์ก่อสร้าง | ครุภัณฑ์สำนักงาน  |  ค่าเสื่อมราคาคำนวณอัตโนมัติจากวันที่ซื้อจริง</t>
  </si>
  <si>
    <t>📸 ลิงก์รูป: ถ่ายรูปทรัพย์สิน → Upload Google Drive → วางลิงก์ในช่อง O  |  หรือส่งผ่าน LINE OA ระบบบันทึกให้อัตโนมัติ</t>
  </si>
  <si>
    <t>รหัส FA</t>
  </si>
  <si>
    <t>ชื่อทรัพย์สิน</t>
  </si>
  <si>
    <t>ยี่ห้อ/รุ่น</t>
  </si>
  <si>
    <t>เลขทะเบียน/Serial</t>
  </si>
  <si>
    <t>วันที่ซื้อ</t>
  </si>
  <si>
    <t>ราคาซื้อ
(บาท)</t>
  </si>
  <si>
    <t>อายุการใช้งาน
(ปี)</t>
  </si>
  <si>
    <t>ค่าเสื่อมราคา/ปี
(บาท) AUTO</t>
  </si>
  <si>
    <t>ค่าเสื่อมสะสม
(บาท) AUTO</t>
  </si>
  <si>
    <t>มูลค่าสุทธิ
ปัจจุบัน AUTO</t>
  </si>
  <si>
    <t>ที่ตั้ง/ใช้งาน</t>
  </si>
  <si>
    <t>ประกันภัย
หมดอายุ</t>
  </si>
  <si>
    <t>ลิงก์รูป/เอกสาร</t>
  </si>
  <si>
    <t>รวมมูลค่าทรัพย์สินทั้งหมด</t>
  </si>
  <si>
    <t>📌 กรอกเฉพาะคอลัมน์สีเหลือง (ราคาซื้อ + อายุการใช้งาน + วันที่ซื้อ)  |  คอลัมน์สีเขียว (I, J, K) คำนวณให้อัตโนมัติ</t>
  </si>
  <si>
    <t>📊 ผังบัญชี Chart of Accounts — FlowAccount สำหรับธุรกิจรับเหมาก่อสร้าง</t>
  </si>
  <si>
    <t>ออกแบบให้ตรงกับ Document Types ของ FlowAccount  |  นำไปตั้งค่าระบบได้เลย  |  รองรับ VAT + WHT ครบ</t>
  </si>
  <si>
    <t>รหัสบัญชี
(FlowAccount)</t>
  </si>
  <si>
    <t>ชื่อบัญชี (ภาษาไทย)</t>
  </si>
  <si>
    <t>หมวดบัญชี</t>
  </si>
  <si>
    <t>ใช้เมื่อไหร่ / บันทึกอะไร</t>
  </si>
  <si>
    <t>VAT
(ใช่/ไม่)</t>
  </si>
  <si>
    <t>WHT
(%)</t>
  </si>
  <si>
    <t>FlowAccount
Doc Type</t>
  </si>
  <si>
    <t>ใช้ใน
โปรเจค</t>
  </si>
  <si>
    <t>══  หมวด 1 สินทรัพย์ (Assets)  ══</t>
  </si>
  <si>
    <t>1000</t>
  </si>
  <si>
    <t>เงินสด (Cash on Hand)</t>
  </si>
  <si>
    <t>สินทรัพย์</t>
  </si>
  <si>
    <t>เงินสดในกล่อง/ตู้เซฟสำนักงาน</t>
  </si>
  <si>
    <t>ไม่</t>
  </si>
  <si>
    <t>-</t>
  </si>
  <si>
    <t>Payment</t>
  </si>
  <si>
    <t>1010</t>
  </si>
  <si>
    <t>เงินฝากธนาคาร</t>
  </si>
  <si>
    <t>แยกรายบัญชีธนาคาร (ออมทรัพย์/กระแสรายวัน)</t>
  </si>
  <si>
    <t>1100</t>
  </si>
  <si>
    <t>ลูกหนี้การค้า (ภาครัฐ)</t>
  </si>
  <si>
    <t>เงินค้างรับแต่ละงวดหลังส่งมอบงาน</t>
  </si>
  <si>
    <t>Invoice</t>
  </si>
  <si>
    <t>✅</t>
  </si>
  <si>
    <t>1200</t>
  </si>
  <si>
    <t>วัสดุก่อสร้างคงเหลือ</t>
  </si>
  <si>
    <t>วัสดุที่ซื้อมายังไม่ใช้หน้างาน</t>
  </si>
  <si>
    <t>Bill</t>
  </si>
  <si>
    <t>1300</t>
  </si>
  <si>
    <t>เงินมัดจำ/ประกันสัญญา</t>
  </si>
  <si>
    <t>หลักประกันที่วางกับภาครัฐ</t>
  </si>
  <si>
    <t>Journal</t>
  </si>
  <si>
    <t>1500</t>
  </si>
  <si>
    <t>ที่ดิน อาคาร เครื่องจักร (ราคาทุน)</t>
  </si>
  <si>
    <t>มูลค่าเต็มรถ เครื่องจักร อุปกรณ์</t>
  </si>
  <si>
    <t>1510</t>
  </si>
  <si>
    <t>ค่าเสื่อมราคาสะสม</t>
  </si>
  <si>
    <t>หักออกจาก 1500 บันทึกทุกสิ้นปี</t>
  </si>
  <si>
    <t>1900</t>
  </si>
  <si>
    <t>สินทรัพย์อื่นๆ / รายจ่ายรอตัดบัญชี</t>
  </si>
  <si>
    <t>เงินจ่ายล่วงหน้า ค่าใช้จ่ายรอตัด</t>
  </si>
  <si>
    <t>══  หมวด 2 หนี้สิน (Liabilities)  ══</t>
  </si>
  <si>
    <t>2000</t>
  </si>
  <si>
    <t>เจ้าหนี้การค้า (Accounts Payable)</t>
  </si>
  <si>
    <t>หนี้สิน</t>
  </si>
  <si>
    <t>ค้างจ่ายซัพพลายเออร์วัสดุก่อสร้าง</t>
  </si>
  <si>
    <t>2100</t>
  </si>
  <si>
    <t>VAT ค้างส่ง (Output VAT Payable)</t>
  </si>
  <si>
    <t>VAT เรียกเก็บแล้วรอนำส่งสรรพากร</t>
  </si>
  <si>
    <t>2200</t>
  </si>
  <si>
    <t>WHT ค้างส่ง (WHT Payable)</t>
  </si>
  <si>
    <t>ภาษีหัก ณ ที่จ่ายที่หักแล้วรอนำส่ง</t>
  </si>
  <si>
    <t>2300</t>
  </si>
  <si>
    <t>เงินรับล่วงหน้าจากลูกค้า</t>
  </si>
  <si>
    <t>เงินดาวน์รับก่อนเริ่มงาน</t>
  </si>
  <si>
    <t>2400</t>
  </si>
  <si>
    <t>เงินกู้ระยะสั้น / OD ธนาคาร</t>
  </si>
  <si>
    <t>OD หรือเงินกู้ไม่เกิน 1 ปี</t>
  </si>
  <si>
    <t>2500</t>
  </si>
  <si>
    <t>Leasing / เงินกู้ระยะยาว</t>
  </si>
  <si>
    <t>Leasing รถ เครื่องจักร งวดผ่อนระยะยาว</t>
  </si>
  <si>
    <t>2600</t>
  </si>
  <si>
    <t>เงินประกันผลงาน (Retention)</t>
  </si>
  <si>
    <t>ภาครัฐหัก 5-10% รอส่งคืนหลังรับงาน</t>
  </si>
  <si>
    <t>══  หมวด 3 ทุน (Equity)  ══</t>
  </si>
  <si>
    <t>3000</t>
  </si>
  <si>
    <t>ทุนจดทะเบียน</t>
  </si>
  <si>
    <t>ทุน</t>
  </si>
  <si>
    <t>ทุนชำระแล้ว 1,500,000 บาท</t>
  </si>
  <si>
    <t>3100</t>
  </si>
  <si>
    <t>กำไรสะสม</t>
  </si>
  <si>
    <t>กำไรสะสมที่ยังไม่จ่ายปันผล</t>
  </si>
  <si>
    <t>══  หมวด 4 รายได้ (Revenue)  ══</t>
  </si>
  <si>
    <t>4100</t>
  </si>
  <si>
    <t>รายได้รับเหมาก่อสร้าง</t>
  </si>
  <si>
    <t>รายได้</t>
  </si>
  <si>
    <t>รายได้หลักแต่ละงวดตามสัญญา ออก Tax Invoice</t>
  </si>
  <si>
    <t>ใช่ 7%</t>
  </si>
  <si>
    <t>4200</t>
  </si>
  <si>
    <t>รายได้ค่าออกแบบ/ที่ปรึกษา</t>
  </si>
  <si>
    <t>รับงานออกแบบหรือให้คำปรึกษาเพิ่มเติม</t>
  </si>
  <si>
    <t>4300</t>
  </si>
  <si>
    <t>รายได้อื่นๆ</t>
  </si>
  <si>
    <t>ดอกเบี้ยรับ ค่าปรับสัญญา เงินชดเชย</t>
  </si>
  <si>
    <t>Receipt</t>
  </si>
  <si>
    <t>══  หมวด 5 ต้นทุนโปรเจค (Direct Cost)  ══</t>
  </si>
  <si>
    <t>5100</t>
  </si>
  <si>
    <t>วัสดุก่อสร้าง (ปูน หิน เหล็ก ฯลฯ)</t>
  </si>
  <si>
    <t>ต้นทุนโปรเจค</t>
  </si>
  <si>
    <t>ออก Bill จากซัพพลายเออร์ มี VAT 7% หัก WHT 3%</t>
  </si>
  <si>
    <t>3%</t>
  </si>
  <si>
    <t>5200</t>
  </si>
  <si>
    <t>ค่าแรงงานก่อสร้าง (ว่าจ้างรายวัน)</t>
  </si>
  <si>
    <t>แรงงานรายวัน ภ.ง.ด.3 หัก 3%</t>
  </si>
  <si>
    <t>5210</t>
  </si>
  <si>
    <t>เงินเดือนวิศวกร/โฟร์แมน (ประจำ)</t>
  </si>
  <si>
    <t>พนักงานประจำที่ทำงานหน้างาน</t>
  </si>
  <si>
    <t>5%</t>
  </si>
  <si>
    <t>5300</t>
  </si>
  <si>
    <t>ค่าเช่าเครื่องจักร/รถขุด</t>
  </si>
  <si>
    <t>เช่าจากภายนอก มี VAT + WHT 5%</t>
  </si>
  <si>
    <t>5310</t>
  </si>
  <si>
    <t>ค่าน้ำมัน (หน้างาน)</t>
  </si>
  <si>
    <t>น้ำมันรถและเครื่องจักรประจำหน้างาน</t>
  </si>
  <si>
    <t>Expense</t>
  </si>
  <si>
    <t>5400</t>
  </si>
  <si>
    <t>ค่าขนส่งวัสดุ</t>
  </si>
  <si>
    <t>รถขนส่งวัสดุ มี VAT + WHT 1%</t>
  </si>
  <si>
    <t>1%</t>
  </si>
  <si>
    <t>5500</t>
  </si>
  <si>
    <t>ค่าเหมาช่วง (Subcontract)</t>
  </si>
  <si>
    <t>จ้างผู้รับเหมาช่วง WHT 3%</t>
  </si>
  <si>
    <t>5600</t>
  </si>
  <si>
    <t>ค่าเสื่อมราคา — จัดสรรหน้างาน</t>
  </si>
  <si>
    <t>ค่าเสื่อมที่จัดสรรให้แต่ละโปรเจค</t>
  </si>
  <si>
    <t>5700</t>
  </si>
  <si>
    <t>ค่าทดสอบวัสดุ/ตรวจสอบโครงสร้าง</t>
  </si>
  <si>
    <t>Lab test ค่าตรวจสอบคุณภาพงาน</t>
  </si>
  <si>
    <t>5900</t>
  </si>
  <si>
    <t>ต้นทุนโปรเจคอื่นๆ</t>
  </si>
  <si>
    <t>ค่าใช้จ่ายหน้างานที่ไม่อยู่ในหมวดข้างต้น</t>
  </si>
  <si>
    <t>══  หมวด 6 ค่าใช้จ่ายดำเนินงาน (Operating Expenses)  ══</t>
  </si>
  <si>
    <t>6100</t>
  </si>
  <si>
    <t>เงินเดือนพนักงานสำนักงาน</t>
  </si>
  <si>
    <t>ค่าใช้จ่ายดำเนินงาน</t>
  </si>
  <si>
    <t>บัญชี ธุรการ หัวหน้าฝ่าย WHT 5%</t>
  </si>
  <si>
    <t>6200</t>
  </si>
  <si>
    <t>ค่าเช่าสำนักงาน</t>
  </si>
  <si>
    <t>ค่าเช่าสำนักงานใหญ่/ทำการ WHT 5%</t>
  </si>
  <si>
    <t>6210</t>
  </si>
  <si>
    <t>ค่าเช่าพื้นที่จอดเครื่องจักร/คลัง</t>
  </si>
  <si>
    <t>WHT 5%</t>
  </si>
  <si>
    <t>6300</t>
  </si>
  <si>
    <t>ค่าสื่อสาร (โทรศัพท์/อินเทอร์เน็ต)</t>
  </si>
  <si>
    <t>บิลโทรศัพท์มือถือ + อินเทอร์เน็ต</t>
  </si>
  <si>
    <t>6400</t>
  </si>
  <si>
    <t>ค่าประกันภัย</t>
  </si>
  <si>
    <t>ประกันรถ เครื่องจักร โปรเจค WHT 1%</t>
  </si>
  <si>
    <t>6500</t>
  </si>
  <si>
    <t>ค่าซ่อมบำรุง/น้ำมัน (สำนักงาน)</t>
  </si>
  <si>
    <t>ซ่อมรถสำนักงาน น้ำมันรถสำนักงาน</t>
  </si>
  <si>
    <t>6600</t>
  </si>
  <si>
    <t>ค่าบริการวิชาชีพ (บัญชี/กฎหมาย)</t>
  </si>
  <si>
    <t>สำนักงานบัญชี ทนาย ที่ปรึกษา WHT 3%</t>
  </si>
  <si>
    <t>6700</t>
  </si>
  <si>
    <t>ดอกเบี้ยจ่าย</t>
  </si>
  <si>
    <t>ดอกเบี้ย OD / เงินกู้ธนาคาร</t>
  </si>
  <si>
    <t>6800</t>
  </si>
  <si>
    <t>ค่าธรรมเนียม/ใบอนุญาต</t>
  </si>
  <si>
    <t>ใบอนุญาตก่อสร้าง ค่าธรรมเนียมราชการ</t>
  </si>
  <si>
    <t>6900</t>
  </si>
  <si>
    <t>ค่าใช้จ่ายดำเนินงานอื่นๆ</t>
  </si>
  <si>
    <t>เครื่องเขียน อุปกรณ์สำนักงาน ฯลฯ</t>
  </si>
  <si>
    <t>🔵 สินทรัพย์  🔴 หนี้สิน  🟣 ทุน  🟢 รายได้  🟡 ต้นทุนโปรเจค  🟠 ค่าใช้จ่ายดำเนินงาน  |  WHT: วัสดุ 3% | แรง 3% | เช่า 5% | ขนส่ง 1% | ประกัน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</si>
</sst>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EA580C"/>
      <name val="Arial"/>
      <family val="2"/>
    </font>
    <font>
      <b/>
      <sz val="12"/>
      <color rgb="FFFFFFFF"/>
      <name val="Arial"/>
      <family val="2"/>
    </font>
    <font>
      <b/>
      <sz val="9"/>
      <color rgb="FF1B3A6B"/>
      <name val="Arial"/>
      <family val="2"/>
    </font>
    <font>
      <i/>
      <sz val="9"/>
      <color rgb="FF64748B"/>
      <name val="Arial"/>
      <family val="2"/>
    </font>
    <font>
      <b/>
      <sz val="10"/>
      <color rgb="FF1B3A6B"/>
      <name val="Arial"/>
      <family val="2"/>
    </font>
    <font>
      <sz val="9"/>
      <color rgb="FF1B3A6B"/>
      <name val="Arial"/>
      <family val="2"/>
    </font>
    <font>
      <b/>
      <sz val="9"/>
      <color rgb="FFFFFFFF"/>
      <name val="Arial"/>
      <family val="2"/>
    </font>
    <font>
      <i/>
      <sz val="10"/>
      <color rgb="FF64748B"/>
      <name val="Arial"/>
      <family val="2"/>
    </font>
    <font>
      <b/>
      <sz val="11"/>
      <color rgb="FFFFFFFF"/>
      <name val="Arial"/>
      <family val="2"/>
    </font>
    <font>
      <sz val="9"/>
      <color rgb="FFEA580C"/>
      <name val="Arial"/>
      <family val="2"/>
    </font>
    <font>
      <b/>
      <sz val="10"/>
      <name val="Arial"/>
      <family val="2"/>
    </font>
    <font>
      <sz val="10"/>
      <color rgb="FF1B3A6B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563EB"/>
        <bgColor rgb="FF0066CC"/>
      </patternFill>
    </fill>
    <fill>
      <patternFill patternType="solid">
        <fgColor rgb="FF64748B"/>
        <bgColor rgb="FF808080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EF9C3"/>
      </patternFill>
    </fill>
    <fill>
      <patternFill patternType="solid">
        <fgColor rgb="FFFEF9C3"/>
        <bgColor rgb="FFFEF3C7"/>
      </patternFill>
    </fill>
    <fill>
      <patternFill patternType="solid">
        <fgColor rgb="FFDCFCE7"/>
        <bgColor rgb="FFF0FDF4"/>
      </patternFill>
    </fill>
    <fill>
      <patternFill patternType="solid">
        <fgColor rgb="FFDBEAFE"/>
        <bgColor rgb="FFEDE9FE"/>
      </patternFill>
    </fill>
    <fill>
      <patternFill patternType="solid">
        <fgColor rgb="FFF1F5F9"/>
        <bgColor rgb="FFF8FAFC"/>
      </patternFill>
    </fill>
    <fill>
      <patternFill patternType="solid">
        <fgColor rgb="FFF0FDF4"/>
        <bgColor rgb="FFF8FAFC"/>
      </patternFill>
    </fill>
    <fill>
      <patternFill patternType="solid">
        <fgColor rgb="FFFEE2E2"/>
        <bgColor rgb="FFEDE9FE"/>
      </patternFill>
    </fill>
    <fill>
      <patternFill patternType="solid">
        <fgColor rgb="FFEDE9FE"/>
        <bgColor rgb="FFF1F5F9"/>
      </patternFill>
    </fill>
    <fill>
      <patternFill patternType="solid">
        <fgColor rgb="FFFFF7ED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7" fillId="8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3" fillId="6" borderId="2" xfId="0" applyFont="1" applyFill="1" applyBorder="1"/>
    <xf numFmtId="0" fontId="3" fillId="12" borderId="2" xfId="0" applyFont="1" applyFill="1" applyBorder="1"/>
    <xf numFmtId="0" fontId="3" fillId="5" borderId="2" xfId="0" applyFont="1" applyFill="1" applyBorder="1"/>
    <xf numFmtId="0" fontId="3" fillId="9" borderId="2" xfId="0" applyFont="1" applyFill="1" applyBorder="1"/>
    <xf numFmtId="0" fontId="1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right" vertical="center"/>
    </xf>
    <xf numFmtId="0" fontId="14" fillId="10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EF3C7"/>
      <rgbColor rgb="FFF1F5F9"/>
      <rgbColor rgb="FFFFF7ED"/>
      <rgbColor rgb="FFF8FAFC"/>
      <rgbColor rgb="FFFEE2E2"/>
      <rgbColor rgb="FF2563EB"/>
      <rgbColor rgb="FF33CCCC"/>
      <rgbColor rgb="FF99CC00"/>
      <rgbColor rgb="FFFFCC00"/>
      <rgbColor rgb="FFFF9900"/>
      <rgbColor rgb="FFEA580C"/>
      <rgbColor rgb="FF64748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opLeftCell="A27" zoomScaleNormal="100" workbookViewId="0">
      <selection sqref="A1:H1"/>
    </sheetView>
  </sheetViews>
  <sheetFormatPr baseColWidth="10" defaultColWidth="8.6640625" defaultRowHeight="15" x14ac:dyDescent="0.2"/>
  <cols>
    <col min="1" max="1" width="5" customWidth="1"/>
    <col min="2" max="2" width="7" customWidth="1"/>
    <col min="3" max="3" width="10" customWidth="1"/>
    <col min="4" max="4" width="44" customWidth="1"/>
    <col min="5" max="5" width="20" customWidth="1"/>
    <col min="6" max="6" width="15" customWidth="1"/>
    <col min="7" max="7" width="17" customWidth="1"/>
    <col min="8" max="8" width="28" customWidth="1"/>
  </cols>
  <sheetData>
    <row r="1" spans="1:8" ht="37.5" customHeight="1" x14ac:dyDescent="0.2">
      <c r="A1" s="49" t="s">
        <v>0</v>
      </c>
      <c r="B1" s="49"/>
      <c r="C1" s="49"/>
      <c r="D1" s="49"/>
      <c r="E1" s="49"/>
      <c r="F1" s="49"/>
      <c r="G1" s="49"/>
      <c r="H1" s="49"/>
    </row>
    <row r="2" spans="1:8" ht="21.75" customHeight="1" x14ac:dyDescent="0.2">
      <c r="A2" s="50" t="s">
        <v>1</v>
      </c>
      <c r="B2" s="50"/>
      <c r="C2" s="50"/>
      <c r="D2" s="50"/>
      <c r="E2" s="50"/>
      <c r="F2" s="50"/>
      <c r="G2" s="50"/>
      <c r="H2" s="50"/>
    </row>
    <row r="4" spans="1:8" ht="36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9.5" customHeight="1" x14ac:dyDescent="0.2">
      <c r="A5" s="48" t="s">
        <v>10</v>
      </c>
      <c r="B5" s="48"/>
      <c r="C5" s="48"/>
      <c r="D5" s="48"/>
      <c r="E5" s="48"/>
      <c r="F5" s="48"/>
      <c r="G5" s="48"/>
      <c r="H5" s="48"/>
    </row>
    <row r="6" spans="1:8" ht="21.75" customHeight="1" x14ac:dyDescent="0.2">
      <c r="A6" s="2" t="s">
        <v>11</v>
      </c>
      <c r="B6" s="2" t="s">
        <v>12</v>
      </c>
      <c r="C6" s="3" t="s">
        <v>13</v>
      </c>
      <c r="D6" s="3" t="s">
        <v>14</v>
      </c>
      <c r="E6" s="2" t="s">
        <v>15</v>
      </c>
      <c r="F6" s="2" t="s">
        <v>16</v>
      </c>
      <c r="G6" s="2" t="s">
        <v>17</v>
      </c>
      <c r="H6" s="3"/>
    </row>
    <row r="7" spans="1:8" ht="21.75" customHeight="1" x14ac:dyDescent="0.2">
      <c r="A7" s="4" t="s">
        <v>11</v>
      </c>
      <c r="B7" s="4" t="s">
        <v>18</v>
      </c>
      <c r="C7" s="5" t="s">
        <v>13</v>
      </c>
      <c r="D7" s="5" t="s">
        <v>19</v>
      </c>
      <c r="E7" s="4" t="s">
        <v>15</v>
      </c>
      <c r="F7" s="4" t="s">
        <v>16</v>
      </c>
      <c r="G7" s="4" t="s">
        <v>17</v>
      </c>
      <c r="H7" s="5"/>
    </row>
    <row r="8" spans="1:8" ht="21.75" customHeight="1" x14ac:dyDescent="0.2">
      <c r="A8" s="2" t="s">
        <v>11</v>
      </c>
      <c r="B8" s="2" t="s">
        <v>20</v>
      </c>
      <c r="C8" s="3" t="s">
        <v>13</v>
      </c>
      <c r="D8" s="3" t="s">
        <v>21</v>
      </c>
      <c r="E8" s="2" t="s">
        <v>15</v>
      </c>
      <c r="F8" s="2" t="s">
        <v>22</v>
      </c>
      <c r="G8" s="2" t="s">
        <v>17</v>
      </c>
      <c r="H8" s="3"/>
    </row>
    <row r="9" spans="1:8" ht="21.75" customHeight="1" x14ac:dyDescent="0.2">
      <c r="A9" s="4" t="s">
        <v>11</v>
      </c>
      <c r="B9" s="4" t="s">
        <v>23</v>
      </c>
      <c r="C9" s="5" t="s">
        <v>13</v>
      </c>
      <c r="D9" s="5" t="s">
        <v>24</v>
      </c>
      <c r="E9" s="4" t="s">
        <v>25</v>
      </c>
      <c r="F9" s="4" t="s">
        <v>16</v>
      </c>
      <c r="G9" s="4" t="s">
        <v>17</v>
      </c>
      <c r="H9" s="5"/>
    </row>
    <row r="10" spans="1:8" ht="19.5" customHeight="1" x14ac:dyDescent="0.2">
      <c r="A10" s="48" t="s">
        <v>26</v>
      </c>
      <c r="B10" s="48"/>
      <c r="C10" s="48"/>
      <c r="D10" s="48"/>
      <c r="E10" s="48"/>
      <c r="F10" s="48"/>
      <c r="G10" s="48"/>
      <c r="H10" s="48"/>
    </row>
    <row r="11" spans="1:8" ht="21.75" customHeight="1" x14ac:dyDescent="0.2">
      <c r="A11" s="4" t="s">
        <v>27</v>
      </c>
      <c r="B11" s="4" t="s">
        <v>12</v>
      </c>
      <c r="C11" s="5" t="s">
        <v>13</v>
      </c>
      <c r="D11" s="5" t="s">
        <v>28</v>
      </c>
      <c r="E11" s="4" t="s">
        <v>15</v>
      </c>
      <c r="F11" s="4" t="s">
        <v>29</v>
      </c>
      <c r="G11" s="4" t="s">
        <v>17</v>
      </c>
      <c r="H11" s="5"/>
    </row>
    <row r="12" spans="1:8" ht="21.75" customHeight="1" x14ac:dyDescent="0.2">
      <c r="A12" s="2" t="s">
        <v>27</v>
      </c>
      <c r="B12" s="2" t="s">
        <v>18</v>
      </c>
      <c r="C12" s="3" t="s">
        <v>13</v>
      </c>
      <c r="D12" s="3" t="s">
        <v>30</v>
      </c>
      <c r="E12" s="2" t="s">
        <v>15</v>
      </c>
      <c r="F12" s="2" t="s">
        <v>31</v>
      </c>
      <c r="G12" s="2" t="s">
        <v>17</v>
      </c>
      <c r="H12" s="3"/>
    </row>
    <row r="13" spans="1:8" ht="21.75" customHeight="1" x14ac:dyDescent="0.2">
      <c r="A13" s="4" t="s">
        <v>27</v>
      </c>
      <c r="B13" s="4" t="s">
        <v>20</v>
      </c>
      <c r="C13" s="5" t="s">
        <v>13</v>
      </c>
      <c r="D13" s="5" t="s">
        <v>32</v>
      </c>
      <c r="E13" s="4" t="s">
        <v>15</v>
      </c>
      <c r="F13" s="4" t="s">
        <v>31</v>
      </c>
      <c r="G13" s="4" t="s">
        <v>17</v>
      </c>
      <c r="H13" s="5"/>
    </row>
    <row r="14" spans="1:8" ht="21.75" customHeight="1" x14ac:dyDescent="0.2">
      <c r="A14" s="2" t="s">
        <v>27</v>
      </c>
      <c r="B14" s="2" t="s">
        <v>23</v>
      </c>
      <c r="C14" s="3" t="s">
        <v>33</v>
      </c>
      <c r="D14" s="3" t="s">
        <v>34</v>
      </c>
      <c r="E14" s="2" t="s">
        <v>25</v>
      </c>
      <c r="F14" s="2" t="s">
        <v>16</v>
      </c>
      <c r="G14" s="2" t="s">
        <v>17</v>
      </c>
      <c r="H14" s="3"/>
    </row>
    <row r="15" spans="1:8" ht="19.5" customHeight="1" x14ac:dyDescent="0.2">
      <c r="A15" s="48" t="s">
        <v>35</v>
      </c>
      <c r="B15" s="48"/>
      <c r="C15" s="48"/>
      <c r="D15" s="48"/>
      <c r="E15" s="48"/>
      <c r="F15" s="48"/>
      <c r="G15" s="48"/>
      <c r="H15" s="48"/>
    </row>
    <row r="16" spans="1:8" ht="21.75" customHeight="1" x14ac:dyDescent="0.2">
      <c r="A16" s="2" t="s">
        <v>36</v>
      </c>
      <c r="B16" s="2" t="s">
        <v>12</v>
      </c>
      <c r="C16" s="3" t="s">
        <v>13</v>
      </c>
      <c r="D16" s="3" t="s">
        <v>37</v>
      </c>
      <c r="E16" s="2" t="s">
        <v>38</v>
      </c>
      <c r="F16" s="2" t="s">
        <v>31</v>
      </c>
      <c r="G16" s="2" t="s">
        <v>17</v>
      </c>
      <c r="H16" s="3"/>
    </row>
    <row r="17" spans="1:8" ht="21.75" customHeight="1" x14ac:dyDescent="0.2">
      <c r="A17" s="4" t="s">
        <v>36</v>
      </c>
      <c r="B17" s="4" t="s">
        <v>18</v>
      </c>
      <c r="C17" s="5" t="s">
        <v>13</v>
      </c>
      <c r="D17" s="5" t="s">
        <v>39</v>
      </c>
      <c r="E17" s="4" t="s">
        <v>25</v>
      </c>
      <c r="F17" s="4" t="s">
        <v>31</v>
      </c>
      <c r="G17" s="4" t="s">
        <v>17</v>
      </c>
      <c r="H17" s="5"/>
    </row>
    <row r="18" spans="1:8" ht="21.75" customHeight="1" x14ac:dyDescent="0.2">
      <c r="A18" s="2" t="s">
        <v>36</v>
      </c>
      <c r="B18" s="2" t="s">
        <v>20</v>
      </c>
      <c r="C18" s="3" t="s">
        <v>33</v>
      </c>
      <c r="D18" s="3" t="s">
        <v>40</v>
      </c>
      <c r="E18" s="2" t="s">
        <v>38</v>
      </c>
      <c r="F18" s="2" t="s">
        <v>31</v>
      </c>
      <c r="G18" s="2" t="s">
        <v>17</v>
      </c>
      <c r="H18" s="3"/>
    </row>
    <row r="19" spans="1:8" ht="21.75" customHeight="1" x14ac:dyDescent="0.2">
      <c r="A19" s="4" t="s">
        <v>36</v>
      </c>
      <c r="B19" s="4" t="s">
        <v>23</v>
      </c>
      <c r="C19" s="5" t="s">
        <v>33</v>
      </c>
      <c r="D19" s="5" t="s">
        <v>41</v>
      </c>
      <c r="E19" s="4" t="s">
        <v>25</v>
      </c>
      <c r="F19" s="4" t="s">
        <v>31</v>
      </c>
      <c r="G19" s="4" t="s">
        <v>17</v>
      </c>
      <c r="H19" s="5"/>
    </row>
    <row r="20" spans="1:8" ht="21.75" customHeight="1" x14ac:dyDescent="0.2">
      <c r="A20" s="2" t="s">
        <v>36</v>
      </c>
      <c r="B20" s="2" t="s">
        <v>42</v>
      </c>
      <c r="C20" s="3" t="s">
        <v>33</v>
      </c>
      <c r="D20" s="3" t="s">
        <v>43</v>
      </c>
      <c r="E20" s="2" t="s">
        <v>25</v>
      </c>
      <c r="F20" s="2" t="s">
        <v>31</v>
      </c>
      <c r="G20" s="2" t="s">
        <v>17</v>
      </c>
      <c r="H20" s="3"/>
    </row>
    <row r="21" spans="1:8" ht="19.5" customHeight="1" x14ac:dyDescent="0.2">
      <c r="A21" s="48" t="s">
        <v>44</v>
      </c>
      <c r="B21" s="48"/>
      <c r="C21" s="48"/>
      <c r="D21" s="48"/>
      <c r="E21" s="48"/>
      <c r="F21" s="48"/>
      <c r="G21" s="48"/>
      <c r="H21" s="48"/>
    </row>
    <row r="22" spans="1:8" ht="21.75" customHeight="1" x14ac:dyDescent="0.2">
      <c r="A22" s="2" t="s">
        <v>45</v>
      </c>
      <c r="B22" s="2" t="s">
        <v>12</v>
      </c>
      <c r="C22" s="3" t="s">
        <v>13</v>
      </c>
      <c r="D22" s="3" t="s">
        <v>46</v>
      </c>
      <c r="E22" s="2" t="s">
        <v>25</v>
      </c>
      <c r="F22" s="2" t="s">
        <v>31</v>
      </c>
      <c r="G22" s="2" t="s">
        <v>17</v>
      </c>
      <c r="H22" s="3"/>
    </row>
    <row r="23" spans="1:8" ht="21.75" customHeight="1" x14ac:dyDescent="0.2">
      <c r="A23" s="4" t="s">
        <v>45</v>
      </c>
      <c r="B23" s="4" t="s">
        <v>18</v>
      </c>
      <c r="C23" s="5" t="s">
        <v>13</v>
      </c>
      <c r="D23" s="5" t="s">
        <v>47</v>
      </c>
      <c r="E23" s="4" t="s">
        <v>25</v>
      </c>
      <c r="F23" s="4" t="s">
        <v>31</v>
      </c>
      <c r="G23" s="4" t="s">
        <v>17</v>
      </c>
      <c r="H23" s="5"/>
    </row>
    <row r="24" spans="1:8" ht="21.75" customHeight="1" x14ac:dyDescent="0.2">
      <c r="A24" s="2" t="s">
        <v>45</v>
      </c>
      <c r="B24" s="2" t="s">
        <v>20</v>
      </c>
      <c r="C24" s="3" t="s">
        <v>33</v>
      </c>
      <c r="D24" s="3" t="s">
        <v>48</v>
      </c>
      <c r="E24" s="2" t="s">
        <v>25</v>
      </c>
      <c r="F24" s="2" t="s">
        <v>31</v>
      </c>
      <c r="G24" s="2" t="s">
        <v>17</v>
      </c>
      <c r="H24" s="3"/>
    </row>
    <row r="25" spans="1:8" ht="21.75" customHeight="1" x14ac:dyDescent="0.2">
      <c r="A25" s="4" t="s">
        <v>45</v>
      </c>
      <c r="B25" s="4" t="s">
        <v>23</v>
      </c>
      <c r="C25" s="5" t="s">
        <v>33</v>
      </c>
      <c r="D25" s="5" t="s">
        <v>49</v>
      </c>
      <c r="E25" s="4" t="s">
        <v>25</v>
      </c>
      <c r="F25" s="4" t="s">
        <v>31</v>
      </c>
      <c r="G25" s="4" t="s">
        <v>17</v>
      </c>
      <c r="H25" s="5"/>
    </row>
    <row r="26" spans="1:8" ht="21.75" customHeight="1" x14ac:dyDescent="0.2">
      <c r="A26" s="2" t="s">
        <v>45</v>
      </c>
      <c r="B26" s="2" t="s">
        <v>42</v>
      </c>
      <c r="C26" s="3" t="s">
        <v>33</v>
      </c>
      <c r="D26" s="3" t="s">
        <v>50</v>
      </c>
      <c r="E26" s="2" t="s">
        <v>25</v>
      </c>
      <c r="F26" s="2" t="s">
        <v>31</v>
      </c>
      <c r="G26" s="2" t="s">
        <v>17</v>
      </c>
      <c r="H26" s="3"/>
    </row>
    <row r="27" spans="1:8" ht="21.75" customHeight="1" x14ac:dyDescent="0.2">
      <c r="A27" s="4" t="s">
        <v>45</v>
      </c>
      <c r="B27" s="4" t="s">
        <v>51</v>
      </c>
      <c r="C27" s="5" t="s">
        <v>33</v>
      </c>
      <c r="D27" s="5" t="s">
        <v>52</v>
      </c>
      <c r="E27" s="4" t="s">
        <v>25</v>
      </c>
      <c r="F27" s="4" t="s">
        <v>16</v>
      </c>
      <c r="G27" s="4" t="s">
        <v>17</v>
      </c>
      <c r="H27" s="5"/>
    </row>
    <row r="28" spans="1:8" ht="19.5" customHeight="1" x14ac:dyDescent="0.2">
      <c r="A28" s="48" t="s">
        <v>53</v>
      </c>
      <c r="B28" s="48"/>
      <c r="C28" s="48"/>
      <c r="D28" s="48"/>
      <c r="E28" s="48"/>
      <c r="F28" s="48"/>
      <c r="G28" s="48"/>
      <c r="H28" s="48"/>
    </row>
    <row r="29" spans="1:8" ht="21.75" customHeight="1" x14ac:dyDescent="0.2">
      <c r="A29" s="4" t="s">
        <v>54</v>
      </c>
      <c r="B29" s="4" t="s">
        <v>12</v>
      </c>
      <c r="C29" s="5" t="s">
        <v>13</v>
      </c>
      <c r="D29" s="5" t="s">
        <v>55</v>
      </c>
      <c r="E29" s="4" t="s">
        <v>15</v>
      </c>
      <c r="F29" s="4" t="s">
        <v>31</v>
      </c>
      <c r="G29" s="4" t="s">
        <v>17</v>
      </c>
      <c r="H29" s="5"/>
    </row>
    <row r="30" spans="1:8" ht="21.75" customHeight="1" x14ac:dyDescent="0.2">
      <c r="A30" s="2" t="s">
        <v>54</v>
      </c>
      <c r="B30" s="2" t="s">
        <v>18</v>
      </c>
      <c r="C30" s="3" t="s">
        <v>13</v>
      </c>
      <c r="D30" s="3" t="s">
        <v>56</v>
      </c>
      <c r="E30" s="2" t="s">
        <v>15</v>
      </c>
      <c r="F30" s="2" t="s">
        <v>31</v>
      </c>
      <c r="G30" s="2" t="s">
        <v>17</v>
      </c>
      <c r="H30" s="3"/>
    </row>
    <row r="31" spans="1:8" ht="21.75" customHeight="1" x14ac:dyDescent="0.2">
      <c r="A31" s="4" t="s">
        <v>54</v>
      </c>
      <c r="B31" s="4" t="s">
        <v>20</v>
      </c>
      <c r="C31" s="5" t="s">
        <v>13</v>
      </c>
      <c r="D31" s="5" t="s">
        <v>57</v>
      </c>
      <c r="E31" s="4" t="s">
        <v>15</v>
      </c>
      <c r="F31" s="4" t="s">
        <v>58</v>
      </c>
      <c r="G31" s="4" t="s">
        <v>17</v>
      </c>
      <c r="H31" s="5" t="s">
        <v>59</v>
      </c>
    </row>
    <row r="32" spans="1:8" ht="21.75" customHeight="1" x14ac:dyDescent="0.2">
      <c r="A32" s="2" t="s">
        <v>54</v>
      </c>
      <c r="B32" s="2" t="s">
        <v>23</v>
      </c>
      <c r="C32" s="3" t="s">
        <v>60</v>
      </c>
      <c r="D32" s="3" t="s">
        <v>61</v>
      </c>
      <c r="E32" s="2" t="s">
        <v>15</v>
      </c>
      <c r="F32" s="2" t="s">
        <v>58</v>
      </c>
      <c r="G32" s="2" t="s">
        <v>17</v>
      </c>
      <c r="H32" s="3"/>
    </row>
    <row r="33" spans="1:8" ht="19.5" customHeight="1" x14ac:dyDescent="0.2">
      <c r="A33" s="48" t="s">
        <v>62</v>
      </c>
      <c r="B33" s="48"/>
      <c r="C33" s="48"/>
      <c r="D33" s="48"/>
      <c r="E33" s="48"/>
      <c r="F33" s="48"/>
      <c r="G33" s="48"/>
      <c r="H33" s="48"/>
    </row>
    <row r="34" spans="1:8" ht="21.75" customHeight="1" x14ac:dyDescent="0.2">
      <c r="A34" s="2" t="s">
        <v>63</v>
      </c>
      <c r="B34" s="2" t="s">
        <v>12</v>
      </c>
      <c r="C34" s="3" t="s">
        <v>13</v>
      </c>
      <c r="D34" s="3" t="s">
        <v>64</v>
      </c>
      <c r="E34" s="2" t="s">
        <v>15</v>
      </c>
      <c r="F34" s="2" t="s">
        <v>31</v>
      </c>
      <c r="G34" s="2" t="s">
        <v>17</v>
      </c>
      <c r="H34" s="3"/>
    </row>
    <row r="35" spans="1:8" ht="21.75" customHeight="1" x14ac:dyDescent="0.2">
      <c r="A35" s="4" t="s">
        <v>63</v>
      </c>
      <c r="B35" s="4" t="s">
        <v>18</v>
      </c>
      <c r="C35" s="5" t="s">
        <v>33</v>
      </c>
      <c r="D35" s="5" t="s">
        <v>65</v>
      </c>
      <c r="E35" s="4" t="s">
        <v>15</v>
      </c>
      <c r="F35" s="4" t="s">
        <v>31</v>
      </c>
      <c r="G35" s="4" t="s">
        <v>17</v>
      </c>
      <c r="H35" s="5"/>
    </row>
    <row r="36" spans="1:8" ht="19.5" customHeight="1" x14ac:dyDescent="0.2">
      <c r="A36" s="48" t="s">
        <v>66</v>
      </c>
      <c r="B36" s="48"/>
      <c r="C36" s="48"/>
      <c r="D36" s="48"/>
      <c r="E36" s="48"/>
      <c r="F36" s="48"/>
      <c r="G36" s="48"/>
      <c r="H36" s="48"/>
    </row>
    <row r="37" spans="1:8" ht="21.75" customHeight="1" x14ac:dyDescent="0.2">
      <c r="A37" s="4" t="s">
        <v>67</v>
      </c>
      <c r="B37" s="4" t="s">
        <v>12</v>
      </c>
      <c r="C37" s="5" t="s">
        <v>13</v>
      </c>
      <c r="D37" s="5" t="s">
        <v>68</v>
      </c>
      <c r="E37" s="4" t="s">
        <v>25</v>
      </c>
      <c r="F37" s="4" t="s">
        <v>16</v>
      </c>
      <c r="G37" s="4" t="s">
        <v>17</v>
      </c>
      <c r="H37" s="5"/>
    </row>
    <row r="38" spans="1:8" ht="21.75" customHeight="1" x14ac:dyDescent="0.2">
      <c r="A38" s="2" t="s">
        <v>67</v>
      </c>
      <c r="B38" s="2" t="s">
        <v>18</v>
      </c>
      <c r="C38" s="3" t="s">
        <v>13</v>
      </c>
      <c r="D38" s="3" t="s">
        <v>69</v>
      </c>
      <c r="E38" s="2" t="s">
        <v>15</v>
      </c>
      <c r="F38" s="2" t="s">
        <v>16</v>
      </c>
      <c r="G38" s="2" t="s">
        <v>17</v>
      </c>
      <c r="H38" s="3"/>
    </row>
    <row r="39" spans="1:8" ht="21.75" customHeight="1" x14ac:dyDescent="0.2">
      <c r="A39" s="4" t="s">
        <v>67</v>
      </c>
      <c r="B39" s="4" t="s">
        <v>20</v>
      </c>
      <c r="C39" s="5" t="s">
        <v>33</v>
      </c>
      <c r="D39" s="5" t="s">
        <v>70</v>
      </c>
      <c r="E39" s="4" t="s">
        <v>15</v>
      </c>
      <c r="F39" s="4" t="s">
        <v>16</v>
      </c>
      <c r="G39" s="4" t="s">
        <v>17</v>
      </c>
      <c r="H39" s="5"/>
    </row>
    <row r="40" spans="1:8" ht="21.75" customHeight="1" x14ac:dyDescent="0.2">
      <c r="A40" s="2" t="s">
        <v>67</v>
      </c>
      <c r="B40" s="2" t="s">
        <v>23</v>
      </c>
      <c r="C40" s="3" t="s">
        <v>33</v>
      </c>
      <c r="D40" s="3" t="s">
        <v>71</v>
      </c>
      <c r="E40" s="2" t="s">
        <v>15</v>
      </c>
      <c r="F40" s="2" t="s">
        <v>16</v>
      </c>
      <c r="G40" s="2" t="s">
        <v>17</v>
      </c>
      <c r="H40" s="3"/>
    </row>
    <row r="41" spans="1:8" ht="19.5" customHeight="1" x14ac:dyDescent="0.2">
      <c r="A41" s="48" t="s">
        <v>72</v>
      </c>
      <c r="B41" s="48"/>
      <c r="C41" s="48"/>
      <c r="D41" s="48"/>
      <c r="E41" s="48"/>
      <c r="F41" s="48"/>
      <c r="G41" s="48"/>
      <c r="H41" s="48"/>
    </row>
    <row r="42" spans="1:8" ht="21.75" customHeight="1" x14ac:dyDescent="0.2">
      <c r="A42" s="2" t="s">
        <v>73</v>
      </c>
      <c r="B42" s="2" t="s">
        <v>12</v>
      </c>
      <c r="C42" s="3" t="s">
        <v>13</v>
      </c>
      <c r="D42" s="3" t="s">
        <v>74</v>
      </c>
      <c r="E42" s="2" t="s">
        <v>25</v>
      </c>
      <c r="F42" s="2" t="s">
        <v>16</v>
      </c>
      <c r="G42" s="2" t="s">
        <v>17</v>
      </c>
      <c r="H42" s="3"/>
    </row>
    <row r="43" spans="1:8" ht="21.75" customHeight="1" x14ac:dyDescent="0.2">
      <c r="A43" s="4" t="s">
        <v>73</v>
      </c>
      <c r="B43" s="4" t="s">
        <v>18</v>
      </c>
      <c r="C43" s="5" t="s">
        <v>13</v>
      </c>
      <c r="D43" s="5" t="s">
        <v>75</v>
      </c>
      <c r="E43" s="4" t="s">
        <v>25</v>
      </c>
      <c r="F43" s="4" t="s">
        <v>16</v>
      </c>
      <c r="G43" s="4" t="s">
        <v>17</v>
      </c>
      <c r="H43" s="5"/>
    </row>
    <row r="44" spans="1:8" ht="21.75" customHeight="1" x14ac:dyDescent="0.2">
      <c r="A44" s="2" t="s">
        <v>73</v>
      </c>
      <c r="B44" s="2" t="s">
        <v>20</v>
      </c>
      <c r="C44" s="3" t="s">
        <v>60</v>
      </c>
      <c r="D44" s="3" t="s">
        <v>76</v>
      </c>
      <c r="E44" s="2" t="s">
        <v>15</v>
      </c>
      <c r="F44" s="2" t="s">
        <v>16</v>
      </c>
      <c r="G44" s="2" t="s">
        <v>17</v>
      </c>
      <c r="H44" s="3"/>
    </row>
    <row r="45" spans="1:8" ht="27.75" customHeight="1" x14ac:dyDescent="0.2">
      <c r="A45" s="47" t="s">
        <v>77</v>
      </c>
      <c r="B45" s="47"/>
      <c r="C45" s="47"/>
      <c r="D45" s="47"/>
      <c r="E45" s="47"/>
      <c r="F45" s="47"/>
      <c r="G45" s="47"/>
      <c r="H45" s="47"/>
    </row>
  </sheetData>
  <mergeCells count="11">
    <mergeCell ref="A1:H1"/>
    <mergeCell ref="A2:H2"/>
    <mergeCell ref="A5:H5"/>
    <mergeCell ref="A10:H10"/>
    <mergeCell ref="A15:H15"/>
    <mergeCell ref="A45:H45"/>
    <mergeCell ref="A21:H21"/>
    <mergeCell ref="A28:H28"/>
    <mergeCell ref="A33:H33"/>
    <mergeCell ref="A36:H36"/>
    <mergeCell ref="A41:H41"/>
  </mergeCells>
  <dataValidations count="2">
    <dataValidation type="list" allowBlank="1" sqref="C6:C9 C11:C14 C16:C20 C22:C27 C29:C32 C34:C35 C37:C40 C42:C44" xr:uid="{00000000-0002-0000-0000-000000000000}">
      <formula1>"🔴 ต้องมี,🟡 สำคัญ,🟢 มีดีกว่า"</formula1>
      <formula2>0</formula2>
    </dataValidation>
    <dataValidation type="list" allowBlank="1" sqref="G6:G9 G11:G14 G16:G20 G22:G27 G29:G32 G34:G35 G37:G40 G42:G44" xr:uid="{00000000-0002-0000-0000-000001000000}">
      <formula1>"✅ เสร็จแล้ว,⏳ กำลังเตรียม,❌ ไม่มี,➡️ ไม่เกี่ยวข้อง"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Normal="100" workbookViewId="0">
      <selection sqref="A1:M1"/>
    </sheetView>
  </sheetViews>
  <sheetFormatPr baseColWidth="10" defaultColWidth="8.6640625" defaultRowHeight="15" x14ac:dyDescent="0.2"/>
  <cols>
    <col min="1" max="1" width="11" customWidth="1"/>
    <col min="2" max="2" width="10" customWidth="1"/>
    <col min="3" max="3" width="8" customWidth="1"/>
    <col min="4" max="4" width="36" customWidth="1"/>
    <col min="5" max="5" width="27" customWidth="1"/>
    <col min="6" max="6" width="10" customWidth="1"/>
    <col min="7" max="7" width="16" customWidth="1"/>
    <col min="8" max="8" width="12" customWidth="1"/>
    <col min="9" max="9" width="16" customWidth="1"/>
    <col min="10" max="11" width="14" customWidth="1"/>
    <col min="12" max="12" width="12" customWidth="1"/>
    <col min="13" max="13" width="18" customWidth="1"/>
  </cols>
  <sheetData>
    <row r="1" spans="1:13" ht="30" customHeight="1" x14ac:dyDescent="0.2">
      <c r="A1" s="51" t="s">
        <v>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21.75" customHeight="1" x14ac:dyDescent="0.2">
      <c r="A2" s="6" t="s">
        <v>79</v>
      </c>
      <c r="B2" s="7" t="s">
        <v>80</v>
      </c>
      <c r="D2" s="6" t="s">
        <v>81</v>
      </c>
      <c r="E2" s="7" t="s">
        <v>80</v>
      </c>
      <c r="G2" s="6" t="s">
        <v>82</v>
      </c>
      <c r="H2" s="7" t="s">
        <v>80</v>
      </c>
      <c r="J2" s="6" t="s">
        <v>83</v>
      </c>
      <c r="K2" s="7" t="s">
        <v>80</v>
      </c>
    </row>
    <row r="3" spans="1:13" ht="24" customHeight="1" x14ac:dyDescent="0.2">
      <c r="A3" s="52" t="s">
        <v>84</v>
      </c>
      <c r="B3" s="52"/>
      <c r="C3" s="52"/>
      <c r="D3" s="52"/>
      <c r="E3" s="52"/>
      <c r="F3" s="8">
        <f>SUMIF(F6:F500,"🟢 รายรับ",I6:I500)</f>
        <v>0</v>
      </c>
      <c r="G3" s="9"/>
      <c r="H3" s="10">
        <f>SUMIF(F6:F500,"🔴 รายจ่าย",I6:I500)</f>
        <v>0</v>
      </c>
      <c r="I3" s="9"/>
      <c r="J3" s="11">
        <f>F3-H3</f>
        <v>0</v>
      </c>
      <c r="K3" s="9"/>
      <c r="L3" s="12" t="str">
        <f>IF(F3&gt;0,TEXT(J3/F3,"0.0%"),"-")</f>
        <v>-</v>
      </c>
      <c r="M3" s="9"/>
    </row>
    <row r="4" spans="1:13" ht="21.75" customHeight="1" x14ac:dyDescent="0.2">
      <c r="A4" s="53" t="s">
        <v>85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3" ht="48" customHeight="1" x14ac:dyDescent="0.2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  <c r="G5" s="13" t="s">
        <v>92</v>
      </c>
      <c r="H5" s="13" t="s">
        <v>93</v>
      </c>
      <c r="I5" s="13" t="s">
        <v>94</v>
      </c>
      <c r="J5" s="13" t="s">
        <v>95</v>
      </c>
      <c r="K5" s="13" t="s">
        <v>96</v>
      </c>
      <c r="L5" s="13" t="s">
        <v>97</v>
      </c>
      <c r="M5" s="13" t="s">
        <v>98</v>
      </c>
    </row>
    <row r="6" spans="1:13" ht="21.75" customHeight="1" x14ac:dyDescent="0.2">
      <c r="A6" s="14"/>
      <c r="B6" s="14"/>
      <c r="C6" s="14" t="s">
        <v>12</v>
      </c>
      <c r="D6" s="15" t="s">
        <v>99</v>
      </c>
      <c r="E6" s="15" t="s">
        <v>100</v>
      </c>
      <c r="F6" s="14" t="s">
        <v>101</v>
      </c>
      <c r="G6" s="15"/>
      <c r="H6" s="14"/>
      <c r="I6" s="15"/>
      <c r="J6" s="14"/>
      <c r="K6" s="15"/>
      <c r="L6" s="14" t="s">
        <v>102</v>
      </c>
      <c r="M6" s="15" t="s">
        <v>103</v>
      </c>
    </row>
    <row r="7" spans="1:13" ht="21.75" customHeight="1" x14ac:dyDescent="0.2">
      <c r="A7" s="14"/>
      <c r="B7" s="14"/>
      <c r="C7" s="14"/>
      <c r="D7" s="15" t="s">
        <v>104</v>
      </c>
      <c r="E7" s="15" t="s">
        <v>105</v>
      </c>
      <c r="F7" s="14" t="s">
        <v>106</v>
      </c>
      <c r="G7" s="15"/>
      <c r="H7" s="14"/>
      <c r="I7" s="15"/>
      <c r="J7" s="14"/>
      <c r="K7" s="15"/>
      <c r="L7" s="14" t="s">
        <v>102</v>
      </c>
      <c r="M7" s="15" t="s">
        <v>107</v>
      </c>
    </row>
    <row r="8" spans="1:13" ht="21.75" customHeight="1" x14ac:dyDescent="0.2">
      <c r="A8" s="14"/>
      <c r="B8" s="14"/>
      <c r="C8" s="14"/>
      <c r="D8" s="15" t="s">
        <v>108</v>
      </c>
      <c r="E8" s="15" t="s">
        <v>109</v>
      </c>
      <c r="F8" s="14" t="s">
        <v>106</v>
      </c>
      <c r="G8" s="15"/>
      <c r="H8" s="14"/>
      <c r="I8" s="15"/>
      <c r="J8" s="14"/>
      <c r="K8" s="15"/>
      <c r="L8" s="14" t="s">
        <v>110</v>
      </c>
      <c r="M8" s="15" t="s">
        <v>111</v>
      </c>
    </row>
    <row r="9" spans="1:13" ht="21.75" customHeight="1" x14ac:dyDescent="0.2">
      <c r="A9" s="16"/>
      <c r="B9" s="16"/>
      <c r="C9" s="16"/>
      <c r="D9" s="16"/>
      <c r="E9" s="16"/>
      <c r="F9" s="16"/>
      <c r="G9" s="16"/>
      <c r="H9" s="16"/>
      <c r="I9" s="17" t="str">
        <f t="shared" ref="I9:I40" si="0">IF(G9="","",G9+H9)</f>
        <v/>
      </c>
      <c r="J9" s="16"/>
      <c r="K9" s="17" t="str">
        <f t="shared" ref="K9:K40" si="1">IF(I9="","",I9-J9)</f>
        <v/>
      </c>
      <c r="L9" s="16"/>
      <c r="M9" s="16"/>
    </row>
    <row r="10" spans="1:13" ht="21.75" customHeight="1" x14ac:dyDescent="0.2">
      <c r="A10" s="18"/>
      <c r="B10" s="18"/>
      <c r="C10" s="18"/>
      <c r="D10" s="18"/>
      <c r="E10" s="18"/>
      <c r="F10" s="18"/>
      <c r="G10" s="18"/>
      <c r="H10" s="18"/>
      <c r="I10" s="19" t="str">
        <f t="shared" si="0"/>
        <v/>
      </c>
      <c r="J10" s="18"/>
      <c r="K10" s="19" t="str">
        <f t="shared" si="1"/>
        <v/>
      </c>
      <c r="L10" s="18"/>
      <c r="M10" s="18"/>
    </row>
    <row r="11" spans="1:13" ht="21.75" customHeight="1" x14ac:dyDescent="0.2">
      <c r="A11" s="16"/>
      <c r="B11" s="16"/>
      <c r="C11" s="16"/>
      <c r="D11" s="16"/>
      <c r="E11" s="16"/>
      <c r="F11" s="16"/>
      <c r="G11" s="16"/>
      <c r="H11" s="16"/>
      <c r="I11" s="17" t="str">
        <f t="shared" si="0"/>
        <v/>
      </c>
      <c r="J11" s="16"/>
      <c r="K11" s="17" t="str">
        <f t="shared" si="1"/>
        <v/>
      </c>
      <c r="L11" s="16"/>
      <c r="M11" s="16"/>
    </row>
    <row r="12" spans="1:13" ht="21.75" customHeight="1" x14ac:dyDescent="0.2">
      <c r="A12" s="18"/>
      <c r="B12" s="18"/>
      <c r="C12" s="18"/>
      <c r="D12" s="18"/>
      <c r="E12" s="18"/>
      <c r="F12" s="18"/>
      <c r="G12" s="18"/>
      <c r="H12" s="18"/>
      <c r="I12" s="19" t="str">
        <f t="shared" si="0"/>
        <v/>
      </c>
      <c r="J12" s="18"/>
      <c r="K12" s="19" t="str">
        <f t="shared" si="1"/>
        <v/>
      </c>
      <c r="L12" s="18"/>
      <c r="M12" s="18"/>
    </row>
    <row r="13" spans="1:13" ht="21.75" customHeight="1" x14ac:dyDescent="0.2">
      <c r="A13" s="16"/>
      <c r="B13" s="16"/>
      <c r="C13" s="16"/>
      <c r="D13" s="16"/>
      <c r="E13" s="16"/>
      <c r="F13" s="16"/>
      <c r="G13" s="16"/>
      <c r="H13" s="16"/>
      <c r="I13" s="17" t="str">
        <f t="shared" si="0"/>
        <v/>
      </c>
      <c r="J13" s="16"/>
      <c r="K13" s="17" t="str">
        <f t="shared" si="1"/>
        <v/>
      </c>
      <c r="L13" s="16"/>
      <c r="M13" s="16"/>
    </row>
    <row r="14" spans="1:13" ht="21.75" customHeight="1" x14ac:dyDescent="0.2">
      <c r="A14" s="18"/>
      <c r="B14" s="18"/>
      <c r="C14" s="18"/>
      <c r="D14" s="18"/>
      <c r="E14" s="18"/>
      <c r="F14" s="18"/>
      <c r="G14" s="18"/>
      <c r="H14" s="18"/>
      <c r="I14" s="19" t="str">
        <f t="shared" si="0"/>
        <v/>
      </c>
      <c r="J14" s="18"/>
      <c r="K14" s="19" t="str">
        <f t="shared" si="1"/>
        <v/>
      </c>
      <c r="L14" s="18"/>
      <c r="M14" s="18"/>
    </row>
    <row r="15" spans="1:13" ht="21.75" customHeight="1" x14ac:dyDescent="0.2">
      <c r="A15" s="16"/>
      <c r="B15" s="16"/>
      <c r="C15" s="16"/>
      <c r="D15" s="16"/>
      <c r="E15" s="16"/>
      <c r="F15" s="16"/>
      <c r="G15" s="16"/>
      <c r="H15" s="16"/>
      <c r="I15" s="17" t="str">
        <f t="shared" si="0"/>
        <v/>
      </c>
      <c r="J15" s="16"/>
      <c r="K15" s="17" t="str">
        <f t="shared" si="1"/>
        <v/>
      </c>
      <c r="L15" s="16"/>
      <c r="M15" s="16"/>
    </row>
    <row r="16" spans="1:13" ht="21.75" customHeight="1" x14ac:dyDescent="0.2">
      <c r="A16" s="18"/>
      <c r="B16" s="18"/>
      <c r="C16" s="18"/>
      <c r="D16" s="18"/>
      <c r="E16" s="18"/>
      <c r="F16" s="18"/>
      <c r="G16" s="18"/>
      <c r="H16" s="18"/>
      <c r="I16" s="19" t="str">
        <f t="shared" si="0"/>
        <v/>
      </c>
      <c r="J16" s="18"/>
      <c r="K16" s="19" t="str">
        <f t="shared" si="1"/>
        <v/>
      </c>
      <c r="L16" s="18"/>
      <c r="M16" s="18"/>
    </row>
    <row r="17" spans="1:13" ht="21.75" customHeight="1" x14ac:dyDescent="0.2">
      <c r="A17" s="16"/>
      <c r="B17" s="16"/>
      <c r="C17" s="16"/>
      <c r="D17" s="16"/>
      <c r="E17" s="16"/>
      <c r="F17" s="16"/>
      <c r="G17" s="16"/>
      <c r="H17" s="16"/>
      <c r="I17" s="17" t="str">
        <f t="shared" si="0"/>
        <v/>
      </c>
      <c r="J17" s="16"/>
      <c r="K17" s="17" t="str">
        <f t="shared" si="1"/>
        <v/>
      </c>
      <c r="L17" s="16"/>
      <c r="M17" s="16"/>
    </row>
    <row r="18" spans="1:13" ht="21.75" customHeight="1" x14ac:dyDescent="0.2">
      <c r="A18" s="18"/>
      <c r="B18" s="18"/>
      <c r="C18" s="18"/>
      <c r="D18" s="18"/>
      <c r="E18" s="18"/>
      <c r="F18" s="18"/>
      <c r="G18" s="18"/>
      <c r="H18" s="18"/>
      <c r="I18" s="19" t="str">
        <f t="shared" si="0"/>
        <v/>
      </c>
      <c r="J18" s="18"/>
      <c r="K18" s="19" t="str">
        <f t="shared" si="1"/>
        <v/>
      </c>
      <c r="L18" s="18"/>
      <c r="M18" s="18"/>
    </row>
    <row r="19" spans="1:13" ht="21.75" customHeight="1" x14ac:dyDescent="0.2">
      <c r="A19" s="16"/>
      <c r="B19" s="16"/>
      <c r="C19" s="16"/>
      <c r="D19" s="16"/>
      <c r="E19" s="16"/>
      <c r="F19" s="16"/>
      <c r="G19" s="16"/>
      <c r="H19" s="16"/>
      <c r="I19" s="17" t="str">
        <f t="shared" si="0"/>
        <v/>
      </c>
      <c r="J19" s="16"/>
      <c r="K19" s="17" t="str">
        <f t="shared" si="1"/>
        <v/>
      </c>
      <c r="L19" s="16"/>
      <c r="M19" s="16"/>
    </row>
    <row r="20" spans="1:13" ht="21.75" customHeight="1" x14ac:dyDescent="0.2">
      <c r="A20" s="18"/>
      <c r="B20" s="18"/>
      <c r="C20" s="18"/>
      <c r="D20" s="18"/>
      <c r="E20" s="18"/>
      <c r="F20" s="18"/>
      <c r="G20" s="18"/>
      <c r="H20" s="18"/>
      <c r="I20" s="19" t="str">
        <f t="shared" si="0"/>
        <v/>
      </c>
      <c r="J20" s="18"/>
      <c r="K20" s="19" t="str">
        <f t="shared" si="1"/>
        <v/>
      </c>
      <c r="L20" s="18"/>
      <c r="M20" s="18"/>
    </row>
    <row r="21" spans="1:13" ht="21.75" customHeight="1" x14ac:dyDescent="0.2">
      <c r="A21" s="16"/>
      <c r="B21" s="16"/>
      <c r="C21" s="16"/>
      <c r="D21" s="16"/>
      <c r="E21" s="16"/>
      <c r="F21" s="16"/>
      <c r="G21" s="16"/>
      <c r="H21" s="16"/>
      <c r="I21" s="17" t="str">
        <f t="shared" si="0"/>
        <v/>
      </c>
      <c r="J21" s="16"/>
      <c r="K21" s="17" t="str">
        <f t="shared" si="1"/>
        <v/>
      </c>
      <c r="L21" s="16"/>
      <c r="M21" s="16"/>
    </row>
    <row r="22" spans="1:13" ht="21.75" customHeight="1" x14ac:dyDescent="0.2">
      <c r="A22" s="18"/>
      <c r="B22" s="18"/>
      <c r="C22" s="18"/>
      <c r="D22" s="18"/>
      <c r="E22" s="18"/>
      <c r="F22" s="18"/>
      <c r="G22" s="18"/>
      <c r="H22" s="18"/>
      <c r="I22" s="19" t="str">
        <f t="shared" si="0"/>
        <v/>
      </c>
      <c r="J22" s="18"/>
      <c r="K22" s="19" t="str">
        <f t="shared" si="1"/>
        <v/>
      </c>
      <c r="L22" s="18"/>
      <c r="M22" s="18"/>
    </row>
    <row r="23" spans="1:13" ht="21.75" customHeight="1" x14ac:dyDescent="0.2">
      <c r="A23" s="16"/>
      <c r="B23" s="16"/>
      <c r="C23" s="16"/>
      <c r="D23" s="16"/>
      <c r="E23" s="16"/>
      <c r="F23" s="16"/>
      <c r="G23" s="16"/>
      <c r="H23" s="16"/>
      <c r="I23" s="17" t="str">
        <f t="shared" si="0"/>
        <v/>
      </c>
      <c r="J23" s="16"/>
      <c r="K23" s="17" t="str">
        <f t="shared" si="1"/>
        <v/>
      </c>
      <c r="L23" s="16"/>
      <c r="M23" s="16"/>
    </row>
    <row r="24" spans="1:13" ht="21.75" customHeight="1" x14ac:dyDescent="0.2">
      <c r="A24" s="18"/>
      <c r="B24" s="18"/>
      <c r="C24" s="18"/>
      <c r="D24" s="18"/>
      <c r="E24" s="18"/>
      <c r="F24" s="18"/>
      <c r="G24" s="18"/>
      <c r="H24" s="18"/>
      <c r="I24" s="19" t="str">
        <f t="shared" si="0"/>
        <v/>
      </c>
      <c r="J24" s="18"/>
      <c r="K24" s="19" t="str">
        <f t="shared" si="1"/>
        <v/>
      </c>
      <c r="L24" s="18"/>
      <c r="M24" s="18"/>
    </row>
    <row r="25" spans="1:13" ht="21.75" customHeight="1" x14ac:dyDescent="0.2">
      <c r="A25" s="16"/>
      <c r="B25" s="16"/>
      <c r="C25" s="16"/>
      <c r="D25" s="16"/>
      <c r="E25" s="16"/>
      <c r="F25" s="16"/>
      <c r="G25" s="16"/>
      <c r="H25" s="16"/>
      <c r="I25" s="17" t="str">
        <f t="shared" si="0"/>
        <v/>
      </c>
      <c r="J25" s="16"/>
      <c r="K25" s="17" t="str">
        <f t="shared" si="1"/>
        <v/>
      </c>
      <c r="L25" s="16"/>
      <c r="M25" s="16"/>
    </row>
    <row r="26" spans="1:13" ht="21.75" customHeight="1" x14ac:dyDescent="0.2">
      <c r="A26" s="18"/>
      <c r="B26" s="18"/>
      <c r="C26" s="18"/>
      <c r="D26" s="18"/>
      <c r="E26" s="18"/>
      <c r="F26" s="18"/>
      <c r="G26" s="18"/>
      <c r="H26" s="18"/>
      <c r="I26" s="19" t="str">
        <f t="shared" si="0"/>
        <v/>
      </c>
      <c r="J26" s="18"/>
      <c r="K26" s="19" t="str">
        <f t="shared" si="1"/>
        <v/>
      </c>
      <c r="L26" s="18"/>
      <c r="M26" s="18"/>
    </row>
    <row r="27" spans="1:13" ht="21.75" customHeight="1" x14ac:dyDescent="0.2">
      <c r="A27" s="16"/>
      <c r="B27" s="16"/>
      <c r="C27" s="16"/>
      <c r="D27" s="16"/>
      <c r="E27" s="16"/>
      <c r="F27" s="16"/>
      <c r="G27" s="16"/>
      <c r="H27" s="16"/>
      <c r="I27" s="17" t="str">
        <f t="shared" si="0"/>
        <v/>
      </c>
      <c r="J27" s="16"/>
      <c r="K27" s="17" t="str">
        <f t="shared" si="1"/>
        <v/>
      </c>
      <c r="L27" s="16"/>
      <c r="M27" s="16"/>
    </row>
    <row r="28" spans="1:13" ht="21.75" customHeight="1" x14ac:dyDescent="0.2">
      <c r="A28" s="18"/>
      <c r="B28" s="18"/>
      <c r="C28" s="18"/>
      <c r="D28" s="18"/>
      <c r="E28" s="18"/>
      <c r="F28" s="18"/>
      <c r="G28" s="18"/>
      <c r="H28" s="18"/>
      <c r="I28" s="19" t="str">
        <f t="shared" si="0"/>
        <v/>
      </c>
      <c r="J28" s="18"/>
      <c r="K28" s="19" t="str">
        <f t="shared" si="1"/>
        <v/>
      </c>
      <c r="L28" s="18"/>
      <c r="M28" s="18"/>
    </row>
    <row r="29" spans="1:13" ht="21.75" customHeight="1" x14ac:dyDescent="0.2">
      <c r="A29" s="16"/>
      <c r="B29" s="16"/>
      <c r="C29" s="16"/>
      <c r="D29" s="16"/>
      <c r="E29" s="16"/>
      <c r="F29" s="16"/>
      <c r="G29" s="16"/>
      <c r="H29" s="16"/>
      <c r="I29" s="17" t="str">
        <f t="shared" si="0"/>
        <v/>
      </c>
      <c r="J29" s="16"/>
      <c r="K29" s="17" t="str">
        <f t="shared" si="1"/>
        <v/>
      </c>
      <c r="L29" s="16"/>
      <c r="M29" s="16"/>
    </row>
    <row r="30" spans="1:13" ht="21.75" customHeight="1" x14ac:dyDescent="0.2">
      <c r="A30" s="18"/>
      <c r="B30" s="18"/>
      <c r="C30" s="18"/>
      <c r="D30" s="18"/>
      <c r="E30" s="18"/>
      <c r="F30" s="18"/>
      <c r="G30" s="18"/>
      <c r="H30" s="18"/>
      <c r="I30" s="19" t="str">
        <f t="shared" si="0"/>
        <v/>
      </c>
      <c r="J30" s="18"/>
      <c r="K30" s="19" t="str">
        <f t="shared" si="1"/>
        <v/>
      </c>
      <c r="L30" s="18"/>
      <c r="M30" s="18"/>
    </row>
    <row r="31" spans="1:13" ht="21.75" customHeight="1" x14ac:dyDescent="0.2">
      <c r="A31" s="16"/>
      <c r="B31" s="16"/>
      <c r="C31" s="16"/>
      <c r="D31" s="16"/>
      <c r="E31" s="16"/>
      <c r="F31" s="16"/>
      <c r="G31" s="16"/>
      <c r="H31" s="16"/>
      <c r="I31" s="17" t="str">
        <f t="shared" si="0"/>
        <v/>
      </c>
      <c r="J31" s="16"/>
      <c r="K31" s="17" t="str">
        <f t="shared" si="1"/>
        <v/>
      </c>
      <c r="L31" s="16"/>
      <c r="M31" s="16"/>
    </row>
    <row r="32" spans="1:13" ht="21.75" customHeight="1" x14ac:dyDescent="0.2">
      <c r="A32" s="18"/>
      <c r="B32" s="18"/>
      <c r="C32" s="18"/>
      <c r="D32" s="18"/>
      <c r="E32" s="18"/>
      <c r="F32" s="18"/>
      <c r="G32" s="18"/>
      <c r="H32" s="18"/>
      <c r="I32" s="19" t="str">
        <f t="shared" si="0"/>
        <v/>
      </c>
      <c r="J32" s="18"/>
      <c r="K32" s="19" t="str">
        <f t="shared" si="1"/>
        <v/>
      </c>
      <c r="L32" s="18"/>
      <c r="M32" s="18"/>
    </row>
    <row r="33" spans="1:13" ht="21.75" customHeight="1" x14ac:dyDescent="0.2">
      <c r="A33" s="16"/>
      <c r="B33" s="16"/>
      <c r="C33" s="16"/>
      <c r="D33" s="16"/>
      <c r="E33" s="16"/>
      <c r="F33" s="16"/>
      <c r="G33" s="16"/>
      <c r="H33" s="16"/>
      <c r="I33" s="17" t="str">
        <f t="shared" si="0"/>
        <v/>
      </c>
      <c r="J33" s="16"/>
      <c r="K33" s="17" t="str">
        <f t="shared" si="1"/>
        <v/>
      </c>
      <c r="L33" s="16"/>
      <c r="M33" s="16"/>
    </row>
    <row r="34" spans="1:13" ht="21.75" customHeight="1" x14ac:dyDescent="0.2">
      <c r="A34" s="18"/>
      <c r="B34" s="18"/>
      <c r="C34" s="18"/>
      <c r="D34" s="18"/>
      <c r="E34" s="18"/>
      <c r="F34" s="18"/>
      <c r="G34" s="18"/>
      <c r="H34" s="18"/>
      <c r="I34" s="19" t="str">
        <f t="shared" si="0"/>
        <v/>
      </c>
      <c r="J34" s="18"/>
      <c r="K34" s="19" t="str">
        <f t="shared" si="1"/>
        <v/>
      </c>
      <c r="L34" s="18"/>
      <c r="M34" s="18"/>
    </row>
    <row r="35" spans="1:13" ht="21.75" customHeight="1" x14ac:dyDescent="0.2">
      <c r="A35" s="16"/>
      <c r="B35" s="16"/>
      <c r="C35" s="16"/>
      <c r="D35" s="16"/>
      <c r="E35" s="16"/>
      <c r="F35" s="16"/>
      <c r="G35" s="16"/>
      <c r="H35" s="16"/>
      <c r="I35" s="17" t="str">
        <f t="shared" si="0"/>
        <v/>
      </c>
      <c r="J35" s="16"/>
      <c r="K35" s="17" t="str">
        <f t="shared" si="1"/>
        <v/>
      </c>
      <c r="L35" s="16"/>
      <c r="M35" s="16"/>
    </row>
    <row r="36" spans="1:13" ht="21.75" customHeight="1" x14ac:dyDescent="0.2">
      <c r="A36" s="18"/>
      <c r="B36" s="18"/>
      <c r="C36" s="18"/>
      <c r="D36" s="18"/>
      <c r="E36" s="18"/>
      <c r="F36" s="18"/>
      <c r="G36" s="18"/>
      <c r="H36" s="18"/>
      <c r="I36" s="19" t="str">
        <f t="shared" si="0"/>
        <v/>
      </c>
      <c r="J36" s="18"/>
      <c r="K36" s="19" t="str">
        <f t="shared" si="1"/>
        <v/>
      </c>
      <c r="L36" s="18"/>
      <c r="M36" s="18"/>
    </row>
    <row r="37" spans="1:13" ht="21.75" customHeight="1" x14ac:dyDescent="0.2">
      <c r="A37" s="16"/>
      <c r="B37" s="16"/>
      <c r="C37" s="16"/>
      <c r="D37" s="16"/>
      <c r="E37" s="16"/>
      <c r="F37" s="16"/>
      <c r="G37" s="16"/>
      <c r="H37" s="16"/>
      <c r="I37" s="17" t="str">
        <f t="shared" si="0"/>
        <v/>
      </c>
      <c r="J37" s="16"/>
      <c r="K37" s="17" t="str">
        <f t="shared" si="1"/>
        <v/>
      </c>
      <c r="L37" s="16"/>
      <c r="M37" s="16"/>
    </row>
    <row r="38" spans="1:13" ht="21.75" customHeight="1" x14ac:dyDescent="0.2">
      <c r="A38" s="18"/>
      <c r="B38" s="18"/>
      <c r="C38" s="18"/>
      <c r="D38" s="18"/>
      <c r="E38" s="18"/>
      <c r="F38" s="18"/>
      <c r="G38" s="18"/>
      <c r="H38" s="18"/>
      <c r="I38" s="19" t="str">
        <f t="shared" si="0"/>
        <v/>
      </c>
      <c r="J38" s="18"/>
      <c r="K38" s="19" t="str">
        <f t="shared" si="1"/>
        <v/>
      </c>
      <c r="L38" s="18"/>
      <c r="M38" s="18"/>
    </row>
    <row r="39" spans="1:13" ht="21.75" customHeight="1" x14ac:dyDescent="0.2">
      <c r="A39" s="16"/>
      <c r="B39" s="16"/>
      <c r="C39" s="16"/>
      <c r="D39" s="16"/>
      <c r="E39" s="16"/>
      <c r="F39" s="16"/>
      <c r="G39" s="16"/>
      <c r="H39" s="16"/>
      <c r="I39" s="17" t="str">
        <f t="shared" si="0"/>
        <v/>
      </c>
      <c r="J39" s="16"/>
      <c r="K39" s="17" t="str">
        <f t="shared" si="1"/>
        <v/>
      </c>
      <c r="L39" s="16"/>
      <c r="M39" s="16"/>
    </row>
    <row r="40" spans="1:13" ht="21.75" customHeight="1" x14ac:dyDescent="0.2">
      <c r="A40" s="18"/>
      <c r="B40" s="18"/>
      <c r="C40" s="18"/>
      <c r="D40" s="18"/>
      <c r="E40" s="18"/>
      <c r="F40" s="18"/>
      <c r="G40" s="18"/>
      <c r="H40" s="18"/>
      <c r="I40" s="19" t="str">
        <f t="shared" si="0"/>
        <v/>
      </c>
      <c r="J40" s="18"/>
      <c r="K40" s="19" t="str">
        <f t="shared" si="1"/>
        <v/>
      </c>
      <c r="L40" s="18"/>
      <c r="M40" s="18"/>
    </row>
    <row r="41" spans="1:13" ht="21.75" customHeight="1" x14ac:dyDescent="0.2">
      <c r="A41" s="16"/>
      <c r="B41" s="16"/>
      <c r="C41" s="16"/>
      <c r="D41" s="16"/>
      <c r="E41" s="16"/>
      <c r="F41" s="16"/>
      <c r="G41" s="16"/>
      <c r="H41" s="16"/>
      <c r="I41" s="17" t="str">
        <f t="shared" ref="I41:I70" si="2">IF(G41="","",G41+H41)</f>
        <v/>
      </c>
      <c r="J41" s="16"/>
      <c r="K41" s="17" t="str">
        <f t="shared" ref="K41:K70" si="3">IF(I41="","",I41-J41)</f>
        <v/>
      </c>
      <c r="L41" s="16"/>
      <c r="M41" s="16"/>
    </row>
    <row r="42" spans="1:13" ht="21.75" customHeight="1" x14ac:dyDescent="0.2">
      <c r="A42" s="18"/>
      <c r="B42" s="18"/>
      <c r="C42" s="18"/>
      <c r="D42" s="18"/>
      <c r="E42" s="18"/>
      <c r="F42" s="18"/>
      <c r="G42" s="18"/>
      <c r="H42" s="18"/>
      <c r="I42" s="19" t="str">
        <f t="shared" si="2"/>
        <v/>
      </c>
      <c r="J42" s="18"/>
      <c r="K42" s="19" t="str">
        <f t="shared" si="3"/>
        <v/>
      </c>
      <c r="L42" s="18"/>
      <c r="M42" s="18"/>
    </row>
    <row r="43" spans="1:13" ht="21.75" customHeight="1" x14ac:dyDescent="0.2">
      <c r="A43" s="16"/>
      <c r="B43" s="16"/>
      <c r="C43" s="16"/>
      <c r="D43" s="16"/>
      <c r="E43" s="16"/>
      <c r="F43" s="16"/>
      <c r="G43" s="16"/>
      <c r="H43" s="16"/>
      <c r="I43" s="17" t="str">
        <f t="shared" si="2"/>
        <v/>
      </c>
      <c r="J43" s="16"/>
      <c r="K43" s="17" t="str">
        <f t="shared" si="3"/>
        <v/>
      </c>
      <c r="L43" s="16"/>
      <c r="M43" s="16"/>
    </row>
    <row r="44" spans="1:13" ht="21.75" customHeight="1" x14ac:dyDescent="0.2">
      <c r="A44" s="18"/>
      <c r="B44" s="18"/>
      <c r="C44" s="18"/>
      <c r="D44" s="18"/>
      <c r="E44" s="18"/>
      <c r="F44" s="18"/>
      <c r="G44" s="18"/>
      <c r="H44" s="18"/>
      <c r="I44" s="19" t="str">
        <f t="shared" si="2"/>
        <v/>
      </c>
      <c r="J44" s="18"/>
      <c r="K44" s="19" t="str">
        <f t="shared" si="3"/>
        <v/>
      </c>
      <c r="L44" s="18"/>
      <c r="M44" s="18"/>
    </row>
    <row r="45" spans="1:13" ht="21.75" customHeight="1" x14ac:dyDescent="0.2">
      <c r="A45" s="16"/>
      <c r="B45" s="16"/>
      <c r="C45" s="16"/>
      <c r="D45" s="16"/>
      <c r="E45" s="16"/>
      <c r="F45" s="16"/>
      <c r="G45" s="16"/>
      <c r="H45" s="16"/>
      <c r="I45" s="17" t="str">
        <f t="shared" si="2"/>
        <v/>
      </c>
      <c r="J45" s="16"/>
      <c r="K45" s="17" t="str">
        <f t="shared" si="3"/>
        <v/>
      </c>
      <c r="L45" s="16"/>
      <c r="M45" s="16"/>
    </row>
    <row r="46" spans="1:13" ht="21.75" customHeight="1" x14ac:dyDescent="0.2">
      <c r="A46" s="18"/>
      <c r="B46" s="18"/>
      <c r="C46" s="18"/>
      <c r="D46" s="18"/>
      <c r="E46" s="18"/>
      <c r="F46" s="18"/>
      <c r="G46" s="18"/>
      <c r="H46" s="18"/>
      <c r="I46" s="19" t="str">
        <f t="shared" si="2"/>
        <v/>
      </c>
      <c r="J46" s="18"/>
      <c r="K46" s="19" t="str">
        <f t="shared" si="3"/>
        <v/>
      </c>
      <c r="L46" s="18"/>
      <c r="M46" s="18"/>
    </row>
    <row r="47" spans="1:13" ht="21.75" customHeight="1" x14ac:dyDescent="0.2">
      <c r="A47" s="16"/>
      <c r="B47" s="16"/>
      <c r="C47" s="16"/>
      <c r="D47" s="16"/>
      <c r="E47" s="16"/>
      <c r="F47" s="16"/>
      <c r="G47" s="16"/>
      <c r="H47" s="16"/>
      <c r="I47" s="17" t="str">
        <f t="shared" si="2"/>
        <v/>
      </c>
      <c r="J47" s="16"/>
      <c r="K47" s="17" t="str">
        <f t="shared" si="3"/>
        <v/>
      </c>
      <c r="L47" s="16"/>
      <c r="M47" s="16"/>
    </row>
    <row r="48" spans="1:13" ht="21.75" customHeight="1" x14ac:dyDescent="0.2">
      <c r="A48" s="18"/>
      <c r="B48" s="18"/>
      <c r="C48" s="18"/>
      <c r="D48" s="18"/>
      <c r="E48" s="18"/>
      <c r="F48" s="18"/>
      <c r="G48" s="18"/>
      <c r="H48" s="18"/>
      <c r="I48" s="19" t="str">
        <f t="shared" si="2"/>
        <v/>
      </c>
      <c r="J48" s="18"/>
      <c r="K48" s="19" t="str">
        <f t="shared" si="3"/>
        <v/>
      </c>
      <c r="L48" s="18"/>
      <c r="M48" s="18"/>
    </row>
    <row r="49" spans="1:13" ht="21.75" customHeight="1" x14ac:dyDescent="0.2">
      <c r="A49" s="16"/>
      <c r="B49" s="16"/>
      <c r="C49" s="16"/>
      <c r="D49" s="16"/>
      <c r="E49" s="16"/>
      <c r="F49" s="16"/>
      <c r="G49" s="16"/>
      <c r="H49" s="16"/>
      <c r="I49" s="17" t="str">
        <f t="shared" si="2"/>
        <v/>
      </c>
      <c r="J49" s="16"/>
      <c r="K49" s="17" t="str">
        <f t="shared" si="3"/>
        <v/>
      </c>
      <c r="L49" s="16"/>
      <c r="M49" s="16"/>
    </row>
    <row r="50" spans="1:13" ht="21.75" customHeight="1" x14ac:dyDescent="0.2">
      <c r="A50" s="18"/>
      <c r="B50" s="18"/>
      <c r="C50" s="18"/>
      <c r="D50" s="18"/>
      <c r="E50" s="18"/>
      <c r="F50" s="18"/>
      <c r="G50" s="18"/>
      <c r="H50" s="18"/>
      <c r="I50" s="19" t="str">
        <f t="shared" si="2"/>
        <v/>
      </c>
      <c r="J50" s="18"/>
      <c r="K50" s="19" t="str">
        <f t="shared" si="3"/>
        <v/>
      </c>
      <c r="L50" s="18"/>
      <c r="M50" s="18"/>
    </row>
    <row r="51" spans="1:13" ht="21.75" customHeight="1" x14ac:dyDescent="0.2">
      <c r="A51" s="16"/>
      <c r="B51" s="16"/>
      <c r="C51" s="16"/>
      <c r="D51" s="16"/>
      <c r="E51" s="16"/>
      <c r="F51" s="16"/>
      <c r="G51" s="16"/>
      <c r="H51" s="16"/>
      <c r="I51" s="17" t="str">
        <f t="shared" si="2"/>
        <v/>
      </c>
      <c r="J51" s="16"/>
      <c r="K51" s="17" t="str">
        <f t="shared" si="3"/>
        <v/>
      </c>
      <c r="L51" s="16"/>
      <c r="M51" s="16"/>
    </row>
    <row r="52" spans="1:13" ht="21.75" customHeight="1" x14ac:dyDescent="0.2">
      <c r="A52" s="18"/>
      <c r="B52" s="18"/>
      <c r="C52" s="18"/>
      <c r="D52" s="18"/>
      <c r="E52" s="18"/>
      <c r="F52" s="18"/>
      <c r="G52" s="18"/>
      <c r="H52" s="18"/>
      <c r="I52" s="19" t="str">
        <f t="shared" si="2"/>
        <v/>
      </c>
      <c r="J52" s="18"/>
      <c r="K52" s="19" t="str">
        <f t="shared" si="3"/>
        <v/>
      </c>
      <c r="L52" s="18"/>
      <c r="M52" s="18"/>
    </row>
    <row r="53" spans="1:13" ht="21.75" customHeight="1" x14ac:dyDescent="0.2">
      <c r="A53" s="16"/>
      <c r="B53" s="16"/>
      <c r="C53" s="16"/>
      <c r="D53" s="16"/>
      <c r="E53" s="16"/>
      <c r="F53" s="16"/>
      <c r="G53" s="16"/>
      <c r="H53" s="16"/>
      <c r="I53" s="17" t="str">
        <f t="shared" si="2"/>
        <v/>
      </c>
      <c r="J53" s="16"/>
      <c r="K53" s="17" t="str">
        <f t="shared" si="3"/>
        <v/>
      </c>
      <c r="L53" s="16"/>
      <c r="M53" s="16"/>
    </row>
    <row r="54" spans="1:13" ht="21.75" customHeight="1" x14ac:dyDescent="0.2">
      <c r="A54" s="18"/>
      <c r="B54" s="18"/>
      <c r="C54" s="18"/>
      <c r="D54" s="18"/>
      <c r="E54" s="18"/>
      <c r="F54" s="18"/>
      <c r="G54" s="18"/>
      <c r="H54" s="18"/>
      <c r="I54" s="19" t="str">
        <f t="shared" si="2"/>
        <v/>
      </c>
      <c r="J54" s="18"/>
      <c r="K54" s="19" t="str">
        <f t="shared" si="3"/>
        <v/>
      </c>
      <c r="L54" s="18"/>
      <c r="M54" s="18"/>
    </row>
    <row r="55" spans="1:13" ht="21.75" customHeight="1" x14ac:dyDescent="0.2">
      <c r="A55" s="16"/>
      <c r="B55" s="16"/>
      <c r="C55" s="16"/>
      <c r="D55" s="16"/>
      <c r="E55" s="16"/>
      <c r="F55" s="16"/>
      <c r="G55" s="16"/>
      <c r="H55" s="16"/>
      <c r="I55" s="17" t="str">
        <f t="shared" si="2"/>
        <v/>
      </c>
      <c r="J55" s="16"/>
      <c r="K55" s="17" t="str">
        <f t="shared" si="3"/>
        <v/>
      </c>
      <c r="L55" s="16"/>
      <c r="M55" s="16"/>
    </row>
    <row r="56" spans="1:13" ht="21.75" customHeight="1" x14ac:dyDescent="0.2">
      <c r="A56" s="18"/>
      <c r="B56" s="18"/>
      <c r="C56" s="18"/>
      <c r="D56" s="18"/>
      <c r="E56" s="18"/>
      <c r="F56" s="18"/>
      <c r="G56" s="18"/>
      <c r="H56" s="18"/>
      <c r="I56" s="19" t="str">
        <f t="shared" si="2"/>
        <v/>
      </c>
      <c r="J56" s="18"/>
      <c r="K56" s="19" t="str">
        <f t="shared" si="3"/>
        <v/>
      </c>
      <c r="L56" s="18"/>
      <c r="M56" s="18"/>
    </row>
    <row r="57" spans="1:13" ht="21.75" customHeight="1" x14ac:dyDescent="0.2">
      <c r="A57" s="16"/>
      <c r="B57" s="16"/>
      <c r="C57" s="16"/>
      <c r="D57" s="16"/>
      <c r="E57" s="16"/>
      <c r="F57" s="16"/>
      <c r="G57" s="16"/>
      <c r="H57" s="16"/>
      <c r="I57" s="17" t="str">
        <f t="shared" si="2"/>
        <v/>
      </c>
      <c r="J57" s="16"/>
      <c r="K57" s="17" t="str">
        <f t="shared" si="3"/>
        <v/>
      </c>
      <c r="L57" s="16"/>
      <c r="M57" s="16"/>
    </row>
    <row r="58" spans="1:13" ht="21.75" customHeight="1" x14ac:dyDescent="0.2">
      <c r="A58" s="18"/>
      <c r="B58" s="18"/>
      <c r="C58" s="18"/>
      <c r="D58" s="18"/>
      <c r="E58" s="18"/>
      <c r="F58" s="18"/>
      <c r="G58" s="18"/>
      <c r="H58" s="18"/>
      <c r="I58" s="19" t="str">
        <f t="shared" si="2"/>
        <v/>
      </c>
      <c r="J58" s="18"/>
      <c r="K58" s="19" t="str">
        <f t="shared" si="3"/>
        <v/>
      </c>
      <c r="L58" s="18"/>
      <c r="M58" s="18"/>
    </row>
    <row r="59" spans="1:13" ht="21.75" customHeight="1" x14ac:dyDescent="0.2">
      <c r="A59" s="16"/>
      <c r="B59" s="16"/>
      <c r="C59" s="16"/>
      <c r="D59" s="16"/>
      <c r="E59" s="16"/>
      <c r="F59" s="16"/>
      <c r="G59" s="16"/>
      <c r="H59" s="16"/>
      <c r="I59" s="17" t="str">
        <f t="shared" si="2"/>
        <v/>
      </c>
      <c r="J59" s="16"/>
      <c r="K59" s="17" t="str">
        <f t="shared" si="3"/>
        <v/>
      </c>
      <c r="L59" s="16"/>
      <c r="M59" s="16"/>
    </row>
    <row r="60" spans="1:13" ht="21.75" customHeight="1" x14ac:dyDescent="0.2">
      <c r="A60" s="18"/>
      <c r="B60" s="18"/>
      <c r="C60" s="18"/>
      <c r="D60" s="18"/>
      <c r="E60" s="18"/>
      <c r="F60" s="18"/>
      <c r="G60" s="18"/>
      <c r="H60" s="18"/>
      <c r="I60" s="19" t="str">
        <f t="shared" si="2"/>
        <v/>
      </c>
      <c r="J60" s="18"/>
      <c r="K60" s="19" t="str">
        <f t="shared" si="3"/>
        <v/>
      </c>
      <c r="L60" s="18"/>
      <c r="M60" s="18"/>
    </row>
    <row r="61" spans="1:13" ht="21.75" customHeight="1" x14ac:dyDescent="0.2">
      <c r="A61" s="16"/>
      <c r="B61" s="16"/>
      <c r="C61" s="16"/>
      <c r="D61" s="16"/>
      <c r="E61" s="16"/>
      <c r="F61" s="16"/>
      <c r="G61" s="16"/>
      <c r="H61" s="16"/>
      <c r="I61" s="17" t="str">
        <f t="shared" si="2"/>
        <v/>
      </c>
      <c r="J61" s="16"/>
      <c r="K61" s="17" t="str">
        <f t="shared" si="3"/>
        <v/>
      </c>
      <c r="L61" s="16"/>
      <c r="M61" s="16"/>
    </row>
    <row r="62" spans="1:13" ht="21.75" customHeight="1" x14ac:dyDescent="0.2">
      <c r="A62" s="18"/>
      <c r="B62" s="18"/>
      <c r="C62" s="18"/>
      <c r="D62" s="18"/>
      <c r="E62" s="18"/>
      <c r="F62" s="18"/>
      <c r="G62" s="18"/>
      <c r="H62" s="18"/>
      <c r="I62" s="19" t="str">
        <f t="shared" si="2"/>
        <v/>
      </c>
      <c r="J62" s="18"/>
      <c r="K62" s="19" t="str">
        <f t="shared" si="3"/>
        <v/>
      </c>
      <c r="L62" s="18"/>
      <c r="M62" s="18"/>
    </row>
    <row r="63" spans="1:13" ht="21.75" customHeight="1" x14ac:dyDescent="0.2">
      <c r="A63" s="16"/>
      <c r="B63" s="16"/>
      <c r="C63" s="16"/>
      <c r="D63" s="16"/>
      <c r="E63" s="16"/>
      <c r="F63" s="16"/>
      <c r="G63" s="16"/>
      <c r="H63" s="16"/>
      <c r="I63" s="17" t="str">
        <f t="shared" si="2"/>
        <v/>
      </c>
      <c r="J63" s="16"/>
      <c r="K63" s="17" t="str">
        <f t="shared" si="3"/>
        <v/>
      </c>
      <c r="L63" s="16"/>
      <c r="M63" s="16"/>
    </row>
    <row r="64" spans="1:13" ht="21.75" customHeight="1" x14ac:dyDescent="0.2">
      <c r="A64" s="18"/>
      <c r="B64" s="18"/>
      <c r="C64" s="18"/>
      <c r="D64" s="18"/>
      <c r="E64" s="18"/>
      <c r="F64" s="18"/>
      <c r="G64" s="18"/>
      <c r="H64" s="18"/>
      <c r="I64" s="19" t="str">
        <f t="shared" si="2"/>
        <v/>
      </c>
      <c r="J64" s="18"/>
      <c r="K64" s="19" t="str">
        <f t="shared" si="3"/>
        <v/>
      </c>
      <c r="L64" s="18"/>
      <c r="M64" s="18"/>
    </row>
    <row r="65" spans="1:13" ht="21.75" customHeight="1" x14ac:dyDescent="0.2">
      <c r="A65" s="16"/>
      <c r="B65" s="16"/>
      <c r="C65" s="16"/>
      <c r="D65" s="16"/>
      <c r="E65" s="16"/>
      <c r="F65" s="16"/>
      <c r="G65" s="16"/>
      <c r="H65" s="16"/>
      <c r="I65" s="17" t="str">
        <f t="shared" si="2"/>
        <v/>
      </c>
      <c r="J65" s="16"/>
      <c r="K65" s="17" t="str">
        <f t="shared" si="3"/>
        <v/>
      </c>
      <c r="L65" s="16"/>
      <c r="M65" s="16"/>
    </row>
    <row r="66" spans="1:13" ht="21.75" customHeight="1" x14ac:dyDescent="0.2">
      <c r="A66" s="18"/>
      <c r="B66" s="18"/>
      <c r="C66" s="18"/>
      <c r="D66" s="18"/>
      <c r="E66" s="18"/>
      <c r="F66" s="18"/>
      <c r="G66" s="18"/>
      <c r="H66" s="18"/>
      <c r="I66" s="19" t="str">
        <f t="shared" si="2"/>
        <v/>
      </c>
      <c r="J66" s="18"/>
      <c r="K66" s="19" t="str">
        <f t="shared" si="3"/>
        <v/>
      </c>
      <c r="L66" s="18"/>
      <c r="M66" s="18"/>
    </row>
    <row r="67" spans="1:13" ht="21.75" customHeight="1" x14ac:dyDescent="0.2">
      <c r="A67" s="16"/>
      <c r="B67" s="16"/>
      <c r="C67" s="16"/>
      <c r="D67" s="16"/>
      <c r="E67" s="16"/>
      <c r="F67" s="16"/>
      <c r="G67" s="16"/>
      <c r="H67" s="16"/>
      <c r="I67" s="17" t="str">
        <f t="shared" si="2"/>
        <v/>
      </c>
      <c r="J67" s="16"/>
      <c r="K67" s="17" t="str">
        <f t="shared" si="3"/>
        <v/>
      </c>
      <c r="L67" s="16"/>
      <c r="M67" s="16"/>
    </row>
    <row r="68" spans="1:13" ht="21.75" customHeight="1" x14ac:dyDescent="0.2">
      <c r="A68" s="18"/>
      <c r="B68" s="18"/>
      <c r="C68" s="18"/>
      <c r="D68" s="18"/>
      <c r="E68" s="18"/>
      <c r="F68" s="18"/>
      <c r="G68" s="18"/>
      <c r="H68" s="18"/>
      <c r="I68" s="19" t="str">
        <f t="shared" si="2"/>
        <v/>
      </c>
      <c r="J68" s="18"/>
      <c r="K68" s="19" t="str">
        <f t="shared" si="3"/>
        <v/>
      </c>
      <c r="L68" s="18"/>
      <c r="M68" s="18"/>
    </row>
    <row r="69" spans="1:13" ht="21.75" customHeight="1" x14ac:dyDescent="0.2">
      <c r="A69" s="16"/>
      <c r="B69" s="16"/>
      <c r="C69" s="16"/>
      <c r="D69" s="16"/>
      <c r="E69" s="16"/>
      <c r="F69" s="16"/>
      <c r="G69" s="16"/>
      <c r="H69" s="16"/>
      <c r="I69" s="17" t="str">
        <f t="shared" si="2"/>
        <v/>
      </c>
      <c r="J69" s="16"/>
      <c r="K69" s="17" t="str">
        <f t="shared" si="3"/>
        <v/>
      </c>
      <c r="L69" s="16"/>
      <c r="M69" s="16"/>
    </row>
    <row r="70" spans="1:13" ht="21.75" customHeight="1" x14ac:dyDescent="0.2">
      <c r="A70" s="18"/>
      <c r="B70" s="18"/>
      <c r="C70" s="18"/>
      <c r="D70" s="18"/>
      <c r="E70" s="18"/>
      <c r="F70" s="18"/>
      <c r="G70" s="18"/>
      <c r="H70" s="18"/>
      <c r="I70" s="19" t="str">
        <f t="shared" si="2"/>
        <v/>
      </c>
      <c r="J70" s="18"/>
      <c r="K70" s="19" t="str">
        <f t="shared" si="3"/>
        <v/>
      </c>
      <c r="L70" s="18"/>
      <c r="M70" s="18"/>
    </row>
    <row r="71" spans="1:13" ht="27.75" customHeight="1" x14ac:dyDescent="0.2">
      <c r="A71" s="52" t="s">
        <v>112</v>
      </c>
      <c r="B71" s="52"/>
      <c r="C71" s="52"/>
      <c r="D71" s="52"/>
      <c r="E71" s="52"/>
      <c r="F71" s="52"/>
      <c r="G71" s="20">
        <f>SUM(G9:G70)</f>
        <v>0</v>
      </c>
      <c r="H71" s="20">
        <f>SUM(H9:H70)</f>
        <v>0</v>
      </c>
      <c r="I71" s="20">
        <f>SUM(I9:I70)</f>
        <v>0</v>
      </c>
      <c r="J71" s="20">
        <f>SUM(J9:J70)</f>
        <v>0</v>
      </c>
      <c r="K71" s="20">
        <f>SUM(K9:K70)</f>
        <v>0</v>
      </c>
      <c r="L71" s="9"/>
      <c r="M71" s="9"/>
    </row>
  </sheetData>
  <mergeCells count="4">
    <mergeCell ref="A1:M1"/>
    <mergeCell ref="A3:E3"/>
    <mergeCell ref="A4:M4"/>
    <mergeCell ref="A71:F71"/>
  </mergeCells>
  <dataValidations count="3">
    <dataValidation type="list" allowBlank="1" sqref="F6:F70" xr:uid="{00000000-0002-0000-0100-000000000000}">
      <formula1>"🟢 รายรับ,🔴 รายจ่าย"</formula1>
      <formula2>0</formula2>
    </dataValidation>
    <dataValidation type="list" allowBlank="1" sqref="L6:L70" xr:uid="{00000000-0002-0000-0100-000001000000}">
      <formula1>"โอนธนาคาร,เงินสด,เช็ค,K-Biz"</formula1>
      <formula2>0</formula2>
    </dataValidation>
    <dataValidation type="list" allowBlank="1" sqref="E6:E70" xr:uid="{00000000-0002-0000-0100-000002000000}">
      <formula1>"1100-ลูกหนี้การค้า,4100-รายได้รับเหมา,4200-รายได้ค่าออกแบบ,4300-รายได้อื่น,5100-วัสดุก่อสร้าง,5200-ค่าแรงงาน,5210-เงินเดือนวิศวกร,5300-เช่าเครื่องจักร,5310-ค่าน้ำมันหน้างาน,5400-ค่าขนส่ง,5500-เหมาช่วง,5600-ค่าเสื่อมราคา,5700-ค่าทดสอบวัสดุ,5900-ต้นทุนอื่น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zoomScaleNormal="100" workbookViewId="0">
      <selection sqref="A1:I1"/>
    </sheetView>
  </sheetViews>
  <sheetFormatPr baseColWidth="10" defaultColWidth="8.6640625" defaultRowHeight="15" x14ac:dyDescent="0.2"/>
  <cols>
    <col min="1" max="1" width="6" customWidth="1"/>
    <col min="2" max="2" width="32" customWidth="1"/>
    <col min="3" max="3" width="27" customWidth="1"/>
    <col min="4" max="4" width="16" customWidth="1"/>
    <col min="5" max="5" width="12" customWidth="1"/>
    <col min="6" max="6" width="16" customWidth="1"/>
    <col min="7" max="7" width="14" customWidth="1"/>
    <col min="8" max="8" width="16" customWidth="1"/>
    <col min="9" max="9" width="24" customWidth="1"/>
  </cols>
  <sheetData>
    <row r="1" spans="1:9" ht="34.5" customHeight="1" x14ac:dyDescent="0.2">
      <c r="A1" s="49" t="s">
        <v>113</v>
      </c>
      <c r="B1" s="49"/>
      <c r="C1" s="49"/>
      <c r="D1" s="49"/>
      <c r="E1" s="49"/>
      <c r="F1" s="49"/>
      <c r="G1" s="49"/>
      <c r="H1" s="49"/>
      <c r="I1" s="49"/>
    </row>
    <row r="2" spans="1:9" ht="21.75" customHeight="1" x14ac:dyDescent="0.2">
      <c r="A2" s="50" t="s">
        <v>114</v>
      </c>
      <c r="B2" s="50"/>
      <c r="C2" s="50"/>
      <c r="D2" s="50"/>
      <c r="E2" s="50"/>
      <c r="F2" s="50"/>
      <c r="G2" s="50"/>
      <c r="H2" s="50"/>
      <c r="I2" s="50"/>
    </row>
    <row r="4" spans="1:9" ht="39.75" customHeight="1" x14ac:dyDescent="0.2">
      <c r="A4" s="21" t="s">
        <v>2</v>
      </c>
      <c r="B4" s="21" t="s">
        <v>115</v>
      </c>
      <c r="C4" s="21" t="s">
        <v>116</v>
      </c>
      <c r="D4" s="21" t="s">
        <v>117</v>
      </c>
      <c r="E4" s="21" t="s">
        <v>118</v>
      </c>
      <c r="F4" s="21" t="s">
        <v>119</v>
      </c>
      <c r="G4" s="21" t="s">
        <v>120</v>
      </c>
      <c r="H4" s="21" t="s">
        <v>121</v>
      </c>
      <c r="I4" s="21" t="s">
        <v>122</v>
      </c>
    </row>
    <row r="5" spans="1:9" ht="21.75" customHeight="1" x14ac:dyDescent="0.2">
      <c r="A5" s="22" t="s">
        <v>12</v>
      </c>
      <c r="B5" s="23" t="s">
        <v>123</v>
      </c>
      <c r="C5" s="23" t="s">
        <v>124</v>
      </c>
      <c r="D5" s="24"/>
      <c r="E5" s="24"/>
      <c r="F5" s="23">
        <f>D5</f>
        <v>0</v>
      </c>
      <c r="G5" s="22" t="s">
        <v>125</v>
      </c>
      <c r="H5" s="22" t="s">
        <v>126</v>
      </c>
      <c r="I5" s="23" t="s">
        <v>127</v>
      </c>
    </row>
    <row r="6" spans="1:9" ht="21.75" customHeight="1" x14ac:dyDescent="0.2">
      <c r="A6" s="25" t="s">
        <v>18</v>
      </c>
      <c r="B6" s="26" t="s">
        <v>128</v>
      </c>
      <c r="C6" s="26" t="s">
        <v>129</v>
      </c>
      <c r="D6" s="24"/>
      <c r="E6" s="24"/>
      <c r="F6" s="26">
        <f>D6+E6</f>
        <v>0</v>
      </c>
      <c r="G6" s="25" t="s">
        <v>125</v>
      </c>
      <c r="H6" s="25" t="s">
        <v>12</v>
      </c>
      <c r="I6" s="26" t="s">
        <v>130</v>
      </c>
    </row>
    <row r="7" spans="1:9" ht="21.75" customHeight="1" x14ac:dyDescent="0.2">
      <c r="A7" s="22" t="s">
        <v>20</v>
      </c>
      <c r="B7" s="23" t="s">
        <v>131</v>
      </c>
      <c r="C7" s="23" t="s">
        <v>132</v>
      </c>
      <c r="D7" s="24"/>
      <c r="E7" s="24"/>
      <c r="F7" s="23">
        <f>D7+E7</f>
        <v>0</v>
      </c>
      <c r="G7" s="22" t="s">
        <v>125</v>
      </c>
      <c r="H7" s="22" t="s">
        <v>12</v>
      </c>
      <c r="I7" s="23" t="s">
        <v>130</v>
      </c>
    </row>
    <row r="8" spans="1:9" ht="21.75" customHeight="1" x14ac:dyDescent="0.2">
      <c r="A8" s="25" t="s">
        <v>23</v>
      </c>
      <c r="B8" s="26" t="s">
        <v>133</v>
      </c>
      <c r="C8" s="26" t="s">
        <v>134</v>
      </c>
      <c r="D8" s="24"/>
      <c r="E8" s="24"/>
      <c r="F8" s="26">
        <f>D8+E8</f>
        <v>0</v>
      </c>
      <c r="G8" s="25" t="s">
        <v>125</v>
      </c>
      <c r="H8" s="25" t="s">
        <v>135</v>
      </c>
      <c r="I8" s="26" t="s">
        <v>136</v>
      </c>
    </row>
    <row r="9" spans="1:9" ht="21.75" customHeight="1" x14ac:dyDescent="0.2">
      <c r="A9" s="22" t="s">
        <v>42</v>
      </c>
      <c r="B9" s="23" t="s">
        <v>137</v>
      </c>
      <c r="C9" s="23" t="s">
        <v>134</v>
      </c>
      <c r="D9" s="24"/>
      <c r="E9" s="24"/>
      <c r="F9" s="23">
        <f>D9+E9</f>
        <v>0</v>
      </c>
      <c r="G9" s="22" t="s">
        <v>125</v>
      </c>
      <c r="H9" s="22" t="s">
        <v>135</v>
      </c>
      <c r="I9" s="23"/>
    </row>
    <row r="10" spans="1:9" ht="21.75" customHeight="1" x14ac:dyDescent="0.2">
      <c r="A10" s="25" t="s">
        <v>51</v>
      </c>
      <c r="B10" s="26" t="s">
        <v>138</v>
      </c>
      <c r="C10" s="26" t="s">
        <v>139</v>
      </c>
      <c r="D10" s="24"/>
      <c r="E10" s="24"/>
      <c r="F10" s="26">
        <f>D10</f>
        <v>0</v>
      </c>
      <c r="G10" s="25" t="s">
        <v>140</v>
      </c>
      <c r="H10" s="25" t="s">
        <v>141</v>
      </c>
      <c r="I10" s="26" t="s">
        <v>142</v>
      </c>
    </row>
    <row r="11" spans="1:9" ht="21.75" customHeight="1" x14ac:dyDescent="0.2">
      <c r="A11" s="22" t="s">
        <v>143</v>
      </c>
      <c r="B11" s="23" t="s">
        <v>49</v>
      </c>
      <c r="C11" s="23" t="s">
        <v>144</v>
      </c>
      <c r="D11" s="24"/>
      <c r="E11" s="24"/>
      <c r="F11" s="23">
        <f>D11+E11</f>
        <v>0</v>
      </c>
      <c r="G11" s="22" t="s">
        <v>125</v>
      </c>
      <c r="H11" s="22" t="s">
        <v>141</v>
      </c>
      <c r="I11" s="23" t="s">
        <v>145</v>
      </c>
    </row>
    <row r="12" spans="1:9" ht="21.75" customHeight="1" x14ac:dyDescent="0.2">
      <c r="A12" s="25" t="s">
        <v>146</v>
      </c>
      <c r="B12" s="26" t="s">
        <v>147</v>
      </c>
      <c r="C12" s="26" t="s">
        <v>148</v>
      </c>
      <c r="D12" s="24"/>
      <c r="E12" s="24"/>
      <c r="F12" s="26">
        <f>D12+E12</f>
        <v>0</v>
      </c>
      <c r="G12" s="25" t="s">
        <v>125</v>
      </c>
      <c r="H12" s="25" t="s">
        <v>141</v>
      </c>
      <c r="I12" s="26"/>
    </row>
    <row r="13" spans="1:9" ht="21.75" customHeight="1" x14ac:dyDescent="0.2">
      <c r="A13" s="22" t="s">
        <v>149</v>
      </c>
      <c r="B13" s="23" t="s">
        <v>150</v>
      </c>
      <c r="C13" s="23" t="s">
        <v>151</v>
      </c>
      <c r="D13" s="24"/>
      <c r="E13" s="24"/>
      <c r="F13" s="23">
        <f>D13</f>
        <v>0</v>
      </c>
      <c r="G13" s="22" t="s">
        <v>125</v>
      </c>
      <c r="H13" s="22" t="s">
        <v>141</v>
      </c>
      <c r="I13" s="23" t="s">
        <v>152</v>
      </c>
    </row>
    <row r="14" spans="1:9" ht="21.75" customHeight="1" x14ac:dyDescent="0.2">
      <c r="A14" s="25" t="s">
        <v>135</v>
      </c>
      <c r="B14" s="26" t="s">
        <v>153</v>
      </c>
      <c r="C14" s="26" t="s">
        <v>154</v>
      </c>
      <c r="D14" s="24"/>
      <c r="E14" s="24"/>
      <c r="F14" s="26">
        <f>D14</f>
        <v>0</v>
      </c>
      <c r="G14" s="25" t="s">
        <v>125</v>
      </c>
      <c r="H14" s="25" t="s">
        <v>141</v>
      </c>
      <c r="I14" s="26"/>
    </row>
    <row r="15" spans="1:9" ht="21.75" customHeight="1" x14ac:dyDescent="0.2">
      <c r="A15" s="22" t="s">
        <v>155</v>
      </c>
      <c r="B15" s="23" t="s">
        <v>156</v>
      </c>
      <c r="C15" s="23" t="s">
        <v>157</v>
      </c>
      <c r="D15" s="24"/>
      <c r="E15" s="24"/>
      <c r="F15" s="23">
        <f>D15</f>
        <v>0</v>
      </c>
      <c r="G15" s="22" t="s">
        <v>140</v>
      </c>
      <c r="H15" s="22" t="s">
        <v>141</v>
      </c>
      <c r="I15" s="23"/>
    </row>
    <row r="16" spans="1:9" ht="21.75" customHeight="1" x14ac:dyDescent="0.2">
      <c r="A16" s="25" t="s">
        <v>158</v>
      </c>
      <c r="B16" s="26" t="s">
        <v>159</v>
      </c>
      <c r="C16" s="26" t="s">
        <v>160</v>
      </c>
      <c r="D16" s="24"/>
      <c r="E16" s="24"/>
      <c r="F16" s="26">
        <f>D16+E16</f>
        <v>0</v>
      </c>
      <c r="G16" s="25"/>
      <c r="H16" s="25"/>
      <c r="I16" s="26"/>
    </row>
    <row r="17" spans="1:9" ht="27.75" customHeight="1" x14ac:dyDescent="0.2">
      <c r="A17" s="52" t="s">
        <v>161</v>
      </c>
      <c r="B17" s="52"/>
      <c r="C17" s="52"/>
      <c r="D17" s="52"/>
      <c r="E17" s="52"/>
      <c r="F17" s="27">
        <f>SUM(F5:F16)</f>
        <v>0</v>
      </c>
      <c r="G17" s="9"/>
      <c r="H17" s="9"/>
      <c r="I17" s="9"/>
    </row>
  </sheetData>
  <mergeCells count="3">
    <mergeCell ref="A1:I1"/>
    <mergeCell ref="A2:I2"/>
    <mergeCell ref="A17:E17"/>
  </mergeCells>
  <dataValidations count="2">
    <dataValidation type="list" allowBlank="1" sqref="G5:G16" xr:uid="{00000000-0002-0000-0200-000000000000}">
      <formula1>"รายเดือน,ราย 3 เดือน,ราย 6 เดือน,รายปี"</formula1>
      <formula2>0</formula2>
    </dataValidation>
    <dataValidation type="list" allowBlank="1" sqref="C5:C16" xr:uid="{00000000-0002-0000-0200-000001000000}">
      <formula1>"6100-เงินเดือน,6200-ค่าเช่า,6210-เช่าพื้นที่จอดเครื่องจักร,6300-สื่อสาร,6400-ประกันภัย,6500-ซ่อมบำรุง,6600-บริการวิชาชีพ,6700-ดอกเบี้ย,6800-ค่าธรรมเนียม,6900-อื่นๆ,2500-Leas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topLeftCell="A3" zoomScaleNormal="100" workbookViewId="0">
      <selection activeCell="A6" sqref="A6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17" customWidth="1"/>
    <col min="4" max="4" width="14" customWidth="1"/>
    <col min="5" max="5" width="18" customWidth="1"/>
    <col min="6" max="6" width="11" customWidth="1"/>
    <col min="7" max="7" width="16" customWidth="1"/>
    <col min="8" max="8" width="10" customWidth="1"/>
    <col min="9" max="10" width="16" customWidth="1"/>
    <col min="11" max="11" width="18" customWidth="1"/>
    <col min="12" max="12" width="16" customWidth="1"/>
    <col min="13" max="13" width="14" customWidth="1"/>
    <col min="14" max="15" width="20" customWidth="1"/>
  </cols>
  <sheetData>
    <row r="1" spans="1:15" ht="31.5" customHeight="1" x14ac:dyDescent="0.2">
      <c r="A1" s="49" t="s">
        <v>162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21.75" customHeight="1" x14ac:dyDescent="0.2">
      <c r="A2" s="50" t="s">
        <v>163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21.75" customHeight="1" x14ac:dyDescent="0.2">
      <c r="A3" s="54" t="s">
        <v>164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5" spans="1:15" ht="51.75" customHeight="1" x14ac:dyDescent="0.2">
      <c r="A5" s="13" t="s">
        <v>165</v>
      </c>
      <c r="B5" s="13" t="s">
        <v>166</v>
      </c>
      <c r="C5" s="13" t="s">
        <v>91</v>
      </c>
      <c r="D5" s="13" t="s">
        <v>167</v>
      </c>
      <c r="E5" s="13" t="s">
        <v>168</v>
      </c>
      <c r="F5" s="13" t="s">
        <v>169</v>
      </c>
      <c r="G5" s="13" t="s">
        <v>170</v>
      </c>
      <c r="H5" s="13" t="s">
        <v>171</v>
      </c>
      <c r="I5" s="13" t="s">
        <v>172</v>
      </c>
      <c r="J5" s="13" t="s">
        <v>173</v>
      </c>
      <c r="K5" s="13" t="s">
        <v>174</v>
      </c>
      <c r="L5" s="13" t="s">
        <v>175</v>
      </c>
      <c r="M5" s="13" t="s">
        <v>8</v>
      </c>
      <c r="N5" s="13" t="s">
        <v>176</v>
      </c>
      <c r="O5" s="13" t="s">
        <v>177</v>
      </c>
    </row>
    <row r="6" spans="1:15" ht="24" customHeight="1" x14ac:dyDescent="0.2">
      <c r="A6" s="28"/>
      <c r="B6" s="29"/>
      <c r="C6" s="29"/>
      <c r="D6" s="29"/>
      <c r="E6" s="29"/>
      <c r="F6" s="28"/>
      <c r="G6" s="30"/>
      <c r="H6" s="31"/>
      <c r="I6" s="32" t="str">
        <f t="shared" ref="I6:I25" si="0">IF(OR(G6="",H6="",H6=0),"",G6/H6)</f>
        <v/>
      </c>
      <c r="J6" s="32" t="str">
        <f t="shared" ref="J6:J25" ca="1" si="1">IF(OR(G6="",F6=""),"",IFERROR(MIN((TODAY()-F6)/365,H6)*I6,0))</f>
        <v/>
      </c>
      <c r="K6" s="32" t="str">
        <f t="shared" ref="K6:K25" si="2">IF(G6="","",MAX(G6-J6,0))</f>
        <v/>
      </c>
      <c r="L6" s="29"/>
      <c r="M6" s="28"/>
      <c r="N6" s="28"/>
      <c r="O6" s="29"/>
    </row>
    <row r="7" spans="1:15" ht="24" customHeight="1" x14ac:dyDescent="0.2">
      <c r="A7" s="4"/>
      <c r="B7" s="5"/>
      <c r="C7" s="5"/>
      <c r="D7" s="5"/>
      <c r="E7" s="5"/>
      <c r="F7" s="4"/>
      <c r="G7" s="30"/>
      <c r="H7" s="31"/>
      <c r="I7" s="32" t="str">
        <f t="shared" si="0"/>
        <v/>
      </c>
      <c r="J7" s="32" t="str">
        <f t="shared" ca="1" si="1"/>
        <v/>
      </c>
      <c r="K7" s="32" t="str">
        <f t="shared" si="2"/>
        <v/>
      </c>
      <c r="L7" s="5"/>
      <c r="M7" s="4"/>
      <c r="N7" s="4"/>
      <c r="O7" s="5"/>
    </row>
    <row r="8" spans="1:15" ht="24" customHeight="1" x14ac:dyDescent="0.2">
      <c r="A8" s="28"/>
      <c r="B8" s="29"/>
      <c r="C8" s="29"/>
      <c r="D8" s="29"/>
      <c r="E8" s="29"/>
      <c r="F8" s="28"/>
      <c r="G8" s="30"/>
      <c r="H8" s="31"/>
      <c r="I8" s="32" t="str">
        <f t="shared" si="0"/>
        <v/>
      </c>
      <c r="J8" s="32" t="str">
        <f t="shared" ca="1" si="1"/>
        <v/>
      </c>
      <c r="K8" s="32" t="str">
        <f t="shared" si="2"/>
        <v/>
      </c>
      <c r="L8" s="29"/>
      <c r="M8" s="28"/>
      <c r="N8" s="28"/>
      <c r="O8" s="29"/>
    </row>
    <row r="9" spans="1:15" ht="24" customHeight="1" x14ac:dyDescent="0.2">
      <c r="A9" s="4"/>
      <c r="B9" s="5"/>
      <c r="C9" s="5"/>
      <c r="D9" s="5"/>
      <c r="E9" s="5"/>
      <c r="F9" s="4"/>
      <c r="G9" s="30"/>
      <c r="H9" s="31"/>
      <c r="I9" s="32" t="str">
        <f t="shared" si="0"/>
        <v/>
      </c>
      <c r="J9" s="32" t="str">
        <f t="shared" ca="1" si="1"/>
        <v/>
      </c>
      <c r="K9" s="32" t="str">
        <f t="shared" si="2"/>
        <v/>
      </c>
      <c r="L9" s="5"/>
      <c r="M9" s="4"/>
      <c r="N9" s="4"/>
      <c r="O9" s="5"/>
    </row>
    <row r="10" spans="1:15" ht="24" customHeight="1" x14ac:dyDescent="0.2">
      <c r="A10" s="28"/>
      <c r="B10" s="29"/>
      <c r="C10" s="29"/>
      <c r="D10" s="29"/>
      <c r="E10" s="29"/>
      <c r="F10" s="28"/>
      <c r="G10" s="30"/>
      <c r="H10" s="31"/>
      <c r="I10" s="32" t="str">
        <f t="shared" si="0"/>
        <v/>
      </c>
      <c r="J10" s="32" t="str">
        <f t="shared" ca="1" si="1"/>
        <v/>
      </c>
      <c r="K10" s="32" t="str">
        <f t="shared" si="2"/>
        <v/>
      </c>
      <c r="L10" s="29"/>
      <c r="M10" s="28"/>
      <c r="N10" s="28"/>
      <c r="O10" s="29"/>
    </row>
    <row r="11" spans="1:15" ht="24" customHeight="1" x14ac:dyDescent="0.2">
      <c r="A11" s="4"/>
      <c r="B11" s="5"/>
      <c r="C11" s="5"/>
      <c r="D11" s="5"/>
      <c r="E11" s="5"/>
      <c r="F11" s="4"/>
      <c r="G11" s="30"/>
      <c r="H11" s="31"/>
      <c r="I11" s="32" t="str">
        <f t="shared" si="0"/>
        <v/>
      </c>
      <c r="J11" s="32" t="str">
        <f t="shared" ca="1" si="1"/>
        <v/>
      </c>
      <c r="K11" s="32" t="str">
        <f t="shared" si="2"/>
        <v/>
      </c>
      <c r="L11" s="5"/>
      <c r="M11" s="4"/>
      <c r="N11" s="4"/>
      <c r="O11" s="5"/>
    </row>
    <row r="12" spans="1:15" ht="24" customHeight="1" x14ac:dyDescent="0.2">
      <c r="A12" s="28"/>
      <c r="B12" s="29"/>
      <c r="C12" s="29"/>
      <c r="D12" s="29"/>
      <c r="E12" s="29"/>
      <c r="F12" s="28"/>
      <c r="G12" s="30"/>
      <c r="H12" s="31"/>
      <c r="I12" s="32" t="str">
        <f t="shared" si="0"/>
        <v/>
      </c>
      <c r="J12" s="32" t="str">
        <f t="shared" ca="1" si="1"/>
        <v/>
      </c>
      <c r="K12" s="32" t="str">
        <f t="shared" si="2"/>
        <v/>
      </c>
      <c r="L12" s="29"/>
      <c r="M12" s="28"/>
      <c r="N12" s="28"/>
      <c r="O12" s="29"/>
    </row>
    <row r="13" spans="1:15" ht="24" customHeight="1" x14ac:dyDescent="0.2">
      <c r="A13" s="4"/>
      <c r="B13" s="5"/>
      <c r="C13" s="5"/>
      <c r="D13" s="5"/>
      <c r="E13" s="5"/>
      <c r="F13" s="4"/>
      <c r="G13" s="30"/>
      <c r="H13" s="31"/>
      <c r="I13" s="32" t="str">
        <f t="shared" si="0"/>
        <v/>
      </c>
      <c r="J13" s="32" t="str">
        <f t="shared" ca="1" si="1"/>
        <v/>
      </c>
      <c r="K13" s="32" t="str">
        <f t="shared" si="2"/>
        <v/>
      </c>
      <c r="L13" s="5"/>
      <c r="M13" s="4"/>
      <c r="N13" s="4"/>
      <c r="O13" s="5"/>
    </row>
    <row r="14" spans="1:15" ht="24" customHeight="1" x14ac:dyDescent="0.2">
      <c r="A14" s="28"/>
      <c r="B14" s="29"/>
      <c r="C14" s="29"/>
      <c r="D14" s="29"/>
      <c r="E14" s="29"/>
      <c r="F14" s="28"/>
      <c r="G14" s="30"/>
      <c r="H14" s="31"/>
      <c r="I14" s="32" t="str">
        <f t="shared" si="0"/>
        <v/>
      </c>
      <c r="J14" s="32" t="str">
        <f t="shared" ca="1" si="1"/>
        <v/>
      </c>
      <c r="K14" s="32" t="str">
        <f t="shared" si="2"/>
        <v/>
      </c>
      <c r="L14" s="29"/>
      <c r="M14" s="28"/>
      <c r="N14" s="28"/>
      <c r="O14" s="29"/>
    </row>
    <row r="15" spans="1:15" ht="24" customHeight="1" x14ac:dyDescent="0.2">
      <c r="A15" s="4"/>
      <c r="B15" s="5"/>
      <c r="C15" s="5"/>
      <c r="D15" s="5"/>
      <c r="E15" s="5"/>
      <c r="F15" s="4"/>
      <c r="G15" s="30"/>
      <c r="H15" s="31"/>
      <c r="I15" s="32" t="str">
        <f t="shared" si="0"/>
        <v/>
      </c>
      <c r="J15" s="32" t="str">
        <f t="shared" ca="1" si="1"/>
        <v/>
      </c>
      <c r="K15" s="32" t="str">
        <f t="shared" si="2"/>
        <v/>
      </c>
      <c r="L15" s="5"/>
      <c r="M15" s="4"/>
      <c r="N15" s="4"/>
      <c r="O15" s="5"/>
    </row>
    <row r="16" spans="1:15" ht="24" customHeight="1" x14ac:dyDescent="0.2">
      <c r="A16" s="28"/>
      <c r="B16" s="29"/>
      <c r="C16" s="29"/>
      <c r="D16" s="29"/>
      <c r="E16" s="29"/>
      <c r="F16" s="28"/>
      <c r="G16" s="30"/>
      <c r="H16" s="31"/>
      <c r="I16" s="32" t="str">
        <f t="shared" si="0"/>
        <v/>
      </c>
      <c r="J16" s="32" t="str">
        <f t="shared" ca="1" si="1"/>
        <v/>
      </c>
      <c r="K16" s="32" t="str">
        <f t="shared" si="2"/>
        <v/>
      </c>
      <c r="L16" s="29"/>
      <c r="M16" s="28"/>
      <c r="N16" s="28"/>
      <c r="O16" s="29"/>
    </row>
    <row r="17" spans="1:15" ht="24" customHeight="1" x14ac:dyDescent="0.2">
      <c r="A17" s="4"/>
      <c r="B17" s="5"/>
      <c r="C17" s="5"/>
      <c r="D17" s="5"/>
      <c r="E17" s="5"/>
      <c r="F17" s="4"/>
      <c r="G17" s="30"/>
      <c r="H17" s="31"/>
      <c r="I17" s="32" t="str">
        <f t="shared" si="0"/>
        <v/>
      </c>
      <c r="J17" s="32" t="str">
        <f t="shared" ca="1" si="1"/>
        <v/>
      </c>
      <c r="K17" s="32" t="str">
        <f t="shared" si="2"/>
        <v/>
      </c>
      <c r="L17" s="5"/>
      <c r="M17" s="4"/>
      <c r="N17" s="4"/>
      <c r="O17" s="5"/>
    </row>
    <row r="18" spans="1:15" ht="24" customHeight="1" x14ac:dyDescent="0.2">
      <c r="A18" s="28"/>
      <c r="B18" s="29"/>
      <c r="C18" s="29"/>
      <c r="D18" s="29"/>
      <c r="E18" s="29"/>
      <c r="F18" s="28"/>
      <c r="G18" s="30"/>
      <c r="H18" s="31"/>
      <c r="I18" s="32" t="str">
        <f t="shared" si="0"/>
        <v/>
      </c>
      <c r="J18" s="32" t="str">
        <f t="shared" ca="1" si="1"/>
        <v/>
      </c>
      <c r="K18" s="32" t="str">
        <f t="shared" si="2"/>
        <v/>
      </c>
      <c r="L18" s="29"/>
      <c r="M18" s="28"/>
      <c r="N18" s="28"/>
      <c r="O18" s="29"/>
    </row>
    <row r="19" spans="1:15" ht="24" customHeight="1" x14ac:dyDescent="0.2">
      <c r="A19" s="4"/>
      <c r="B19" s="5"/>
      <c r="C19" s="5"/>
      <c r="D19" s="5"/>
      <c r="E19" s="5"/>
      <c r="F19" s="4"/>
      <c r="G19" s="30"/>
      <c r="H19" s="31"/>
      <c r="I19" s="32" t="str">
        <f t="shared" si="0"/>
        <v/>
      </c>
      <c r="J19" s="32" t="str">
        <f t="shared" ca="1" si="1"/>
        <v/>
      </c>
      <c r="K19" s="32" t="str">
        <f t="shared" si="2"/>
        <v/>
      </c>
      <c r="L19" s="5"/>
      <c r="M19" s="4"/>
      <c r="N19" s="4"/>
      <c r="O19" s="5"/>
    </row>
    <row r="20" spans="1:15" ht="24" customHeight="1" x14ac:dyDescent="0.2">
      <c r="A20" s="28"/>
      <c r="B20" s="29"/>
      <c r="C20" s="29"/>
      <c r="D20" s="29"/>
      <c r="E20" s="29"/>
      <c r="F20" s="28"/>
      <c r="G20" s="30"/>
      <c r="H20" s="31"/>
      <c r="I20" s="32" t="str">
        <f t="shared" si="0"/>
        <v/>
      </c>
      <c r="J20" s="32" t="str">
        <f t="shared" ca="1" si="1"/>
        <v/>
      </c>
      <c r="K20" s="32" t="str">
        <f t="shared" si="2"/>
        <v/>
      </c>
      <c r="L20" s="29"/>
      <c r="M20" s="28"/>
      <c r="N20" s="28"/>
      <c r="O20" s="29"/>
    </row>
    <row r="21" spans="1:15" ht="24" customHeight="1" x14ac:dyDescent="0.2">
      <c r="A21" s="4"/>
      <c r="B21" s="5"/>
      <c r="C21" s="5"/>
      <c r="D21" s="5"/>
      <c r="E21" s="5"/>
      <c r="F21" s="4"/>
      <c r="G21" s="30"/>
      <c r="H21" s="31"/>
      <c r="I21" s="32" t="str">
        <f t="shared" si="0"/>
        <v/>
      </c>
      <c r="J21" s="32" t="str">
        <f t="shared" ca="1" si="1"/>
        <v/>
      </c>
      <c r="K21" s="32" t="str">
        <f t="shared" si="2"/>
        <v/>
      </c>
      <c r="L21" s="5"/>
      <c r="M21" s="4"/>
      <c r="N21" s="4"/>
      <c r="O21" s="5"/>
    </row>
    <row r="22" spans="1:15" ht="24" customHeight="1" x14ac:dyDescent="0.2">
      <c r="A22" s="28"/>
      <c r="B22" s="29"/>
      <c r="C22" s="29"/>
      <c r="D22" s="29"/>
      <c r="E22" s="29"/>
      <c r="F22" s="28"/>
      <c r="G22" s="30"/>
      <c r="H22" s="31"/>
      <c r="I22" s="32" t="str">
        <f t="shared" si="0"/>
        <v/>
      </c>
      <c r="J22" s="32" t="str">
        <f t="shared" ca="1" si="1"/>
        <v/>
      </c>
      <c r="K22" s="32" t="str">
        <f t="shared" si="2"/>
        <v/>
      </c>
      <c r="L22" s="29"/>
      <c r="M22" s="28"/>
      <c r="N22" s="28"/>
      <c r="O22" s="29"/>
    </row>
    <row r="23" spans="1:15" ht="24" customHeight="1" x14ac:dyDescent="0.2">
      <c r="A23" s="4"/>
      <c r="B23" s="5"/>
      <c r="C23" s="5"/>
      <c r="D23" s="5"/>
      <c r="E23" s="5"/>
      <c r="F23" s="4"/>
      <c r="G23" s="30"/>
      <c r="H23" s="31"/>
      <c r="I23" s="32" t="str">
        <f t="shared" si="0"/>
        <v/>
      </c>
      <c r="J23" s="32" t="str">
        <f t="shared" ca="1" si="1"/>
        <v/>
      </c>
      <c r="K23" s="32" t="str">
        <f t="shared" si="2"/>
        <v/>
      </c>
      <c r="L23" s="5"/>
      <c r="M23" s="4"/>
      <c r="N23" s="4"/>
      <c r="O23" s="5"/>
    </row>
    <row r="24" spans="1:15" ht="24" customHeight="1" x14ac:dyDescent="0.2">
      <c r="A24" s="28"/>
      <c r="B24" s="29"/>
      <c r="C24" s="29"/>
      <c r="D24" s="29"/>
      <c r="E24" s="29"/>
      <c r="F24" s="28"/>
      <c r="G24" s="30"/>
      <c r="H24" s="31"/>
      <c r="I24" s="32" t="str">
        <f t="shared" si="0"/>
        <v/>
      </c>
      <c r="J24" s="32" t="str">
        <f t="shared" ca="1" si="1"/>
        <v/>
      </c>
      <c r="K24" s="32" t="str">
        <f t="shared" si="2"/>
        <v/>
      </c>
      <c r="L24" s="29"/>
      <c r="M24" s="28"/>
      <c r="N24" s="28"/>
      <c r="O24" s="29"/>
    </row>
    <row r="25" spans="1:15" ht="24" customHeight="1" x14ac:dyDescent="0.2">
      <c r="A25" s="4"/>
      <c r="B25" s="5"/>
      <c r="C25" s="5"/>
      <c r="D25" s="5"/>
      <c r="E25" s="5"/>
      <c r="F25" s="4"/>
      <c r="G25" s="30"/>
      <c r="H25" s="31"/>
      <c r="I25" s="32" t="str">
        <f t="shared" si="0"/>
        <v/>
      </c>
      <c r="J25" s="32" t="str">
        <f t="shared" ca="1" si="1"/>
        <v/>
      </c>
      <c r="K25" s="32" t="str">
        <f t="shared" si="2"/>
        <v/>
      </c>
      <c r="L25" s="5"/>
      <c r="M25" s="4"/>
      <c r="N25" s="4"/>
      <c r="O25" s="5"/>
    </row>
    <row r="26" spans="1:15" ht="27.75" customHeight="1" x14ac:dyDescent="0.2">
      <c r="A26" s="52" t="s">
        <v>178</v>
      </c>
      <c r="B26" s="52"/>
      <c r="C26" s="52"/>
      <c r="D26" s="52"/>
      <c r="E26" s="52"/>
      <c r="F26" s="52"/>
      <c r="G26" s="20">
        <f>SUM(G6:G25)</f>
        <v>0</v>
      </c>
      <c r="H26" s="9"/>
      <c r="I26" s="20">
        <f>SUM(I6:I25)</f>
        <v>0</v>
      </c>
      <c r="J26" s="20">
        <f ca="1">SUM(J6:J25)</f>
        <v>0</v>
      </c>
      <c r="K26" s="20">
        <f>SUM(K6:K25)</f>
        <v>0</v>
      </c>
      <c r="L26" s="9"/>
      <c r="M26" s="9"/>
      <c r="N26" s="9"/>
      <c r="O26" s="9"/>
    </row>
    <row r="27" spans="1:15" ht="24.75" customHeight="1" x14ac:dyDescent="0.2">
      <c r="A27" s="53" t="s">
        <v>179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</sheetData>
  <mergeCells count="5">
    <mergeCell ref="A1:O1"/>
    <mergeCell ref="A2:O2"/>
    <mergeCell ref="A3:O3"/>
    <mergeCell ref="A26:F26"/>
    <mergeCell ref="A27:O27"/>
  </mergeCells>
  <dataValidations count="2">
    <dataValidation type="list" allowBlank="1" sqref="C6:C25" xr:uid="{00000000-0002-0000-0300-000000000000}">
      <formula1>"รถยนต์,รถบรรทุก,รถกระบะ,รถตักดิน(Backhoe),รถเกรด,รถบดถนน,ปั้นจั่น(Crane),เครื่องผสมคอนกรีต,อุปกรณ์ก่อสร้าง,ครุภัณฑ์สำนักงาน,อื่นๆ"</formula1>
      <formula2>0</formula2>
    </dataValidation>
    <dataValidation type="list" allowBlank="1" sqref="M6:M25" xr:uid="{00000000-0002-0000-0300-000001000000}">
      <formula1>"✅ ใช้งานปกติ,🔧 ซ่อมบำรุง,📦 เก็บในคลัง,❌ ปลดระวาง"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tabSelected="1" zoomScaleNormal="100" workbookViewId="0">
      <selection sqref="A1:H1"/>
    </sheetView>
  </sheetViews>
  <sheetFormatPr baseColWidth="10" defaultColWidth="8.6640625" defaultRowHeight="15" x14ac:dyDescent="0.2"/>
  <cols>
    <col min="1" max="1" width="12" customWidth="1"/>
    <col min="2" max="2" width="34" customWidth="1"/>
    <col min="3" max="3" width="16" customWidth="1"/>
    <col min="4" max="4" width="32" customWidth="1"/>
    <col min="5" max="5" width="14" customWidth="1"/>
    <col min="6" max="6" width="13" customWidth="1"/>
    <col min="7" max="7" width="16" customWidth="1"/>
    <col min="8" max="8" width="12" customWidth="1"/>
  </cols>
  <sheetData>
    <row r="1" spans="1:8" ht="34.5" customHeight="1" x14ac:dyDescent="0.2">
      <c r="A1" s="49" t="s">
        <v>180</v>
      </c>
      <c r="B1" s="49"/>
      <c r="C1" s="49"/>
      <c r="D1" s="49"/>
      <c r="E1" s="49"/>
      <c r="F1" s="49"/>
      <c r="G1" s="49"/>
      <c r="H1" s="49"/>
    </row>
    <row r="2" spans="1:8" ht="21.75" customHeight="1" x14ac:dyDescent="0.2">
      <c r="A2" s="50" t="s">
        <v>181</v>
      </c>
      <c r="B2" s="50"/>
      <c r="C2" s="50"/>
      <c r="D2" s="50"/>
      <c r="E2" s="50"/>
      <c r="F2" s="50"/>
      <c r="G2" s="50"/>
      <c r="H2" s="50"/>
    </row>
    <row r="4" spans="1:8" ht="48" customHeight="1" x14ac:dyDescent="0.2">
      <c r="A4" s="21" t="s">
        <v>182</v>
      </c>
      <c r="B4" s="21" t="s">
        <v>183</v>
      </c>
      <c r="C4" s="21" t="s">
        <v>184</v>
      </c>
      <c r="D4" s="21" t="s">
        <v>185</v>
      </c>
      <c r="E4" s="21" t="s">
        <v>186</v>
      </c>
      <c r="F4" s="21" t="s">
        <v>187</v>
      </c>
      <c r="G4" s="21" t="s">
        <v>188</v>
      </c>
      <c r="H4" s="21" t="s">
        <v>189</v>
      </c>
    </row>
    <row r="5" spans="1:8" ht="19.5" customHeight="1" x14ac:dyDescent="0.2">
      <c r="A5" s="48" t="s">
        <v>190</v>
      </c>
      <c r="B5" s="48"/>
      <c r="C5" s="48"/>
      <c r="D5" s="48"/>
      <c r="E5" s="48"/>
      <c r="F5" s="48"/>
      <c r="G5" s="48"/>
      <c r="H5" s="48"/>
    </row>
    <row r="6" spans="1:8" ht="24" customHeight="1" x14ac:dyDescent="0.2">
      <c r="A6" s="33" t="s">
        <v>191</v>
      </c>
      <c r="B6" s="29" t="s">
        <v>192</v>
      </c>
      <c r="C6" s="28" t="s">
        <v>193</v>
      </c>
      <c r="D6" s="29" t="s">
        <v>194</v>
      </c>
      <c r="E6" s="28" t="s">
        <v>195</v>
      </c>
      <c r="F6" s="28" t="s">
        <v>196</v>
      </c>
      <c r="G6" s="28" t="s">
        <v>197</v>
      </c>
      <c r="H6" s="28"/>
    </row>
    <row r="7" spans="1:8" ht="24" customHeight="1" x14ac:dyDescent="0.2">
      <c r="A7" s="33" t="s">
        <v>198</v>
      </c>
      <c r="B7" s="29" t="s">
        <v>199</v>
      </c>
      <c r="C7" s="28" t="s">
        <v>193</v>
      </c>
      <c r="D7" s="29" t="s">
        <v>200</v>
      </c>
      <c r="E7" s="28" t="s">
        <v>195</v>
      </c>
      <c r="F7" s="28" t="s">
        <v>196</v>
      </c>
      <c r="G7" s="28" t="s">
        <v>197</v>
      </c>
      <c r="H7" s="28"/>
    </row>
    <row r="8" spans="1:8" ht="24" customHeight="1" x14ac:dyDescent="0.2">
      <c r="A8" s="33" t="s">
        <v>201</v>
      </c>
      <c r="B8" s="29" t="s">
        <v>202</v>
      </c>
      <c r="C8" s="28" t="s">
        <v>193</v>
      </c>
      <c r="D8" s="29" t="s">
        <v>203</v>
      </c>
      <c r="E8" s="28" t="s">
        <v>195</v>
      </c>
      <c r="F8" s="28" t="s">
        <v>196</v>
      </c>
      <c r="G8" s="28" t="s">
        <v>204</v>
      </c>
      <c r="H8" s="28" t="s">
        <v>205</v>
      </c>
    </row>
    <row r="9" spans="1:8" ht="24" customHeight="1" x14ac:dyDescent="0.2">
      <c r="A9" s="33" t="s">
        <v>206</v>
      </c>
      <c r="B9" s="29" t="s">
        <v>207</v>
      </c>
      <c r="C9" s="28" t="s">
        <v>193</v>
      </c>
      <c r="D9" s="29" t="s">
        <v>208</v>
      </c>
      <c r="E9" s="28" t="s">
        <v>195</v>
      </c>
      <c r="F9" s="28" t="s">
        <v>196</v>
      </c>
      <c r="G9" s="28" t="s">
        <v>209</v>
      </c>
      <c r="H9" s="28" t="s">
        <v>205</v>
      </c>
    </row>
    <row r="10" spans="1:8" ht="24" customHeight="1" x14ac:dyDescent="0.2">
      <c r="A10" s="33" t="s">
        <v>210</v>
      </c>
      <c r="B10" s="29" t="s">
        <v>211</v>
      </c>
      <c r="C10" s="28" t="s">
        <v>193</v>
      </c>
      <c r="D10" s="29" t="s">
        <v>212</v>
      </c>
      <c r="E10" s="28" t="s">
        <v>195</v>
      </c>
      <c r="F10" s="28" t="s">
        <v>196</v>
      </c>
      <c r="G10" s="28" t="s">
        <v>213</v>
      </c>
      <c r="H10" s="28"/>
    </row>
    <row r="11" spans="1:8" ht="24" customHeight="1" x14ac:dyDescent="0.2">
      <c r="A11" s="33" t="s">
        <v>214</v>
      </c>
      <c r="B11" s="29" t="s">
        <v>215</v>
      </c>
      <c r="C11" s="28" t="s">
        <v>193</v>
      </c>
      <c r="D11" s="29" t="s">
        <v>216</v>
      </c>
      <c r="E11" s="28" t="s">
        <v>195</v>
      </c>
      <c r="F11" s="28" t="s">
        <v>196</v>
      </c>
      <c r="G11" s="28" t="s">
        <v>213</v>
      </c>
      <c r="H11" s="28"/>
    </row>
    <row r="12" spans="1:8" ht="24" customHeight="1" x14ac:dyDescent="0.2">
      <c r="A12" s="33" t="s">
        <v>217</v>
      </c>
      <c r="B12" s="29" t="s">
        <v>218</v>
      </c>
      <c r="C12" s="28" t="s">
        <v>193</v>
      </c>
      <c r="D12" s="29" t="s">
        <v>219</v>
      </c>
      <c r="E12" s="28" t="s">
        <v>195</v>
      </c>
      <c r="F12" s="28" t="s">
        <v>196</v>
      </c>
      <c r="G12" s="28" t="s">
        <v>213</v>
      </c>
      <c r="H12" s="28"/>
    </row>
    <row r="13" spans="1:8" ht="24" customHeight="1" x14ac:dyDescent="0.2">
      <c r="A13" s="33" t="s">
        <v>220</v>
      </c>
      <c r="B13" s="29" t="s">
        <v>221</v>
      </c>
      <c r="C13" s="28" t="s">
        <v>193</v>
      </c>
      <c r="D13" s="29" t="s">
        <v>222</v>
      </c>
      <c r="E13" s="28" t="s">
        <v>195</v>
      </c>
      <c r="F13" s="28" t="s">
        <v>196</v>
      </c>
      <c r="G13" s="28" t="s">
        <v>213</v>
      </c>
      <c r="H13" s="28"/>
    </row>
    <row r="14" spans="1:8" ht="19.5" customHeight="1" x14ac:dyDescent="0.2">
      <c r="A14" s="48" t="s">
        <v>223</v>
      </c>
      <c r="B14" s="48"/>
      <c r="C14" s="48"/>
      <c r="D14" s="48"/>
      <c r="E14" s="48"/>
      <c r="F14" s="48"/>
      <c r="G14" s="48"/>
      <c r="H14" s="48"/>
    </row>
    <row r="15" spans="1:8" ht="24" customHeight="1" x14ac:dyDescent="0.2">
      <c r="A15" s="34" t="s">
        <v>224</v>
      </c>
      <c r="B15" s="35" t="s">
        <v>225</v>
      </c>
      <c r="C15" s="36" t="s">
        <v>226</v>
      </c>
      <c r="D15" s="35" t="s">
        <v>227</v>
      </c>
      <c r="E15" s="36" t="s">
        <v>195</v>
      </c>
      <c r="F15" s="36" t="s">
        <v>196</v>
      </c>
      <c r="G15" s="36" t="s">
        <v>209</v>
      </c>
      <c r="H15" s="36" t="s">
        <v>205</v>
      </c>
    </row>
    <row r="16" spans="1:8" ht="24" customHeight="1" x14ac:dyDescent="0.2">
      <c r="A16" s="34" t="s">
        <v>228</v>
      </c>
      <c r="B16" s="35" t="s">
        <v>229</v>
      </c>
      <c r="C16" s="36" t="s">
        <v>226</v>
      </c>
      <c r="D16" s="35" t="s">
        <v>230</v>
      </c>
      <c r="E16" s="36" t="s">
        <v>195</v>
      </c>
      <c r="F16" s="36" t="s">
        <v>196</v>
      </c>
      <c r="G16" s="36" t="s">
        <v>204</v>
      </c>
      <c r="H16" s="36"/>
    </row>
    <row r="17" spans="1:8" ht="24" customHeight="1" x14ac:dyDescent="0.2">
      <c r="A17" s="34" t="s">
        <v>231</v>
      </c>
      <c r="B17" s="35" t="s">
        <v>232</v>
      </c>
      <c r="C17" s="36" t="s">
        <v>226</v>
      </c>
      <c r="D17" s="35" t="s">
        <v>233</v>
      </c>
      <c r="E17" s="36" t="s">
        <v>195</v>
      </c>
      <c r="F17" s="36" t="s">
        <v>196</v>
      </c>
      <c r="G17" s="36" t="s">
        <v>209</v>
      </c>
      <c r="H17" s="36"/>
    </row>
    <row r="18" spans="1:8" ht="24" customHeight="1" x14ac:dyDescent="0.2">
      <c r="A18" s="34" t="s">
        <v>234</v>
      </c>
      <c r="B18" s="35" t="s">
        <v>235</v>
      </c>
      <c r="C18" s="36" t="s">
        <v>226</v>
      </c>
      <c r="D18" s="35" t="s">
        <v>236</v>
      </c>
      <c r="E18" s="36" t="s">
        <v>195</v>
      </c>
      <c r="F18" s="36" t="s">
        <v>196</v>
      </c>
      <c r="G18" s="36" t="s">
        <v>204</v>
      </c>
      <c r="H18" s="36" t="s">
        <v>205</v>
      </c>
    </row>
    <row r="19" spans="1:8" ht="24" customHeight="1" x14ac:dyDescent="0.2">
      <c r="A19" s="34" t="s">
        <v>237</v>
      </c>
      <c r="B19" s="35" t="s">
        <v>238</v>
      </c>
      <c r="C19" s="36" t="s">
        <v>226</v>
      </c>
      <c r="D19" s="35" t="s">
        <v>239</v>
      </c>
      <c r="E19" s="36" t="s">
        <v>195</v>
      </c>
      <c r="F19" s="36" t="s">
        <v>196</v>
      </c>
      <c r="G19" s="36" t="s">
        <v>213</v>
      </c>
      <c r="H19" s="36"/>
    </row>
    <row r="20" spans="1:8" ht="24" customHeight="1" x14ac:dyDescent="0.2">
      <c r="A20" s="34" t="s">
        <v>240</v>
      </c>
      <c r="B20" s="35" t="s">
        <v>241</v>
      </c>
      <c r="C20" s="36" t="s">
        <v>226</v>
      </c>
      <c r="D20" s="35" t="s">
        <v>242</v>
      </c>
      <c r="E20" s="36" t="s">
        <v>195</v>
      </c>
      <c r="F20" s="36" t="s">
        <v>196</v>
      </c>
      <c r="G20" s="36" t="s">
        <v>213</v>
      </c>
      <c r="H20" s="36"/>
    </row>
    <row r="21" spans="1:8" ht="24" customHeight="1" x14ac:dyDescent="0.2">
      <c r="A21" s="34" t="s">
        <v>243</v>
      </c>
      <c r="B21" s="35" t="s">
        <v>244</v>
      </c>
      <c r="C21" s="36" t="s">
        <v>226</v>
      </c>
      <c r="D21" s="35" t="s">
        <v>245</v>
      </c>
      <c r="E21" s="36" t="s">
        <v>195</v>
      </c>
      <c r="F21" s="36" t="s">
        <v>196</v>
      </c>
      <c r="G21" s="36" t="s">
        <v>204</v>
      </c>
      <c r="H21" s="36" t="s">
        <v>205</v>
      </c>
    </row>
    <row r="22" spans="1:8" ht="19.5" customHeight="1" x14ac:dyDescent="0.2">
      <c r="A22" s="48" t="s">
        <v>246</v>
      </c>
      <c r="B22" s="48"/>
      <c r="C22" s="48"/>
      <c r="D22" s="48"/>
      <c r="E22" s="48"/>
      <c r="F22" s="48"/>
      <c r="G22" s="48"/>
      <c r="H22" s="48"/>
    </row>
    <row r="23" spans="1:8" ht="24" customHeight="1" x14ac:dyDescent="0.2">
      <c r="A23" s="37" t="s">
        <v>247</v>
      </c>
      <c r="B23" s="38" t="s">
        <v>248</v>
      </c>
      <c r="C23" s="39" t="s">
        <v>249</v>
      </c>
      <c r="D23" s="38" t="s">
        <v>250</v>
      </c>
      <c r="E23" s="39" t="s">
        <v>195</v>
      </c>
      <c r="F23" s="39" t="s">
        <v>196</v>
      </c>
      <c r="G23" s="39" t="s">
        <v>213</v>
      </c>
      <c r="H23" s="39"/>
    </row>
    <row r="24" spans="1:8" ht="24" customHeight="1" x14ac:dyDescent="0.2">
      <c r="A24" s="37" t="s">
        <v>251</v>
      </c>
      <c r="B24" s="38" t="s">
        <v>252</v>
      </c>
      <c r="C24" s="39" t="s">
        <v>249</v>
      </c>
      <c r="D24" s="38" t="s">
        <v>253</v>
      </c>
      <c r="E24" s="39" t="s">
        <v>195</v>
      </c>
      <c r="F24" s="39" t="s">
        <v>196</v>
      </c>
      <c r="G24" s="39" t="s">
        <v>213</v>
      </c>
      <c r="H24" s="39"/>
    </row>
    <row r="25" spans="1:8" ht="19.5" customHeight="1" x14ac:dyDescent="0.2">
      <c r="A25" s="48" t="s">
        <v>254</v>
      </c>
      <c r="B25" s="48"/>
      <c r="C25" s="48"/>
      <c r="D25" s="48"/>
      <c r="E25" s="48"/>
      <c r="F25" s="48"/>
      <c r="G25" s="48"/>
      <c r="H25" s="48"/>
    </row>
    <row r="26" spans="1:8" ht="24" customHeight="1" x14ac:dyDescent="0.2">
      <c r="A26" s="40" t="s">
        <v>255</v>
      </c>
      <c r="B26" s="41" t="s">
        <v>256</v>
      </c>
      <c r="C26" s="42" t="s">
        <v>257</v>
      </c>
      <c r="D26" s="41" t="s">
        <v>258</v>
      </c>
      <c r="E26" s="42" t="s">
        <v>259</v>
      </c>
      <c r="F26" s="42" t="s">
        <v>196</v>
      </c>
      <c r="G26" s="42" t="s">
        <v>204</v>
      </c>
      <c r="H26" s="42" t="s">
        <v>205</v>
      </c>
    </row>
    <row r="27" spans="1:8" ht="24" customHeight="1" x14ac:dyDescent="0.2">
      <c r="A27" s="40" t="s">
        <v>260</v>
      </c>
      <c r="B27" s="41" t="s">
        <v>261</v>
      </c>
      <c r="C27" s="42" t="s">
        <v>257</v>
      </c>
      <c r="D27" s="41" t="s">
        <v>262</v>
      </c>
      <c r="E27" s="42" t="s">
        <v>259</v>
      </c>
      <c r="F27" s="42" t="s">
        <v>196</v>
      </c>
      <c r="G27" s="42" t="s">
        <v>204</v>
      </c>
      <c r="H27" s="42" t="s">
        <v>205</v>
      </c>
    </row>
    <row r="28" spans="1:8" ht="24" customHeight="1" x14ac:dyDescent="0.2">
      <c r="A28" s="40" t="s">
        <v>263</v>
      </c>
      <c r="B28" s="41" t="s">
        <v>264</v>
      </c>
      <c r="C28" s="42" t="s">
        <v>257</v>
      </c>
      <c r="D28" s="41" t="s">
        <v>265</v>
      </c>
      <c r="E28" s="42" t="s">
        <v>195</v>
      </c>
      <c r="F28" s="42" t="s">
        <v>196</v>
      </c>
      <c r="G28" s="42" t="s">
        <v>266</v>
      </c>
      <c r="H28" s="42"/>
    </row>
    <row r="29" spans="1:8" ht="19.5" customHeight="1" x14ac:dyDescent="0.2">
      <c r="A29" s="48" t="s">
        <v>267</v>
      </c>
      <c r="B29" s="48"/>
      <c r="C29" s="48"/>
      <c r="D29" s="48"/>
      <c r="E29" s="48"/>
      <c r="F29" s="48"/>
      <c r="G29" s="48"/>
      <c r="H29" s="48"/>
    </row>
    <row r="30" spans="1:8" ht="24" customHeight="1" x14ac:dyDescent="0.2">
      <c r="A30" s="43" t="s">
        <v>268</v>
      </c>
      <c r="B30" s="30" t="s">
        <v>269</v>
      </c>
      <c r="C30" s="31" t="s">
        <v>270</v>
      </c>
      <c r="D30" s="30" t="s">
        <v>271</v>
      </c>
      <c r="E30" s="31" t="s">
        <v>259</v>
      </c>
      <c r="F30" s="31" t="s">
        <v>272</v>
      </c>
      <c r="G30" s="31" t="s">
        <v>209</v>
      </c>
      <c r="H30" s="31" t="s">
        <v>205</v>
      </c>
    </row>
    <row r="31" spans="1:8" ht="24" customHeight="1" x14ac:dyDescent="0.2">
      <c r="A31" s="43" t="s">
        <v>273</v>
      </c>
      <c r="B31" s="30" t="s">
        <v>274</v>
      </c>
      <c r="C31" s="31" t="s">
        <v>270</v>
      </c>
      <c r="D31" s="30" t="s">
        <v>275</v>
      </c>
      <c r="E31" s="31" t="s">
        <v>195</v>
      </c>
      <c r="F31" s="31" t="s">
        <v>272</v>
      </c>
      <c r="G31" s="31" t="s">
        <v>209</v>
      </c>
      <c r="H31" s="31" t="s">
        <v>205</v>
      </c>
    </row>
    <row r="32" spans="1:8" ht="24" customHeight="1" x14ac:dyDescent="0.2">
      <c r="A32" s="43" t="s">
        <v>276</v>
      </c>
      <c r="B32" s="30" t="s">
        <v>277</v>
      </c>
      <c r="C32" s="31" t="s">
        <v>270</v>
      </c>
      <c r="D32" s="30" t="s">
        <v>278</v>
      </c>
      <c r="E32" s="31" t="s">
        <v>195</v>
      </c>
      <c r="F32" s="31" t="s">
        <v>279</v>
      </c>
      <c r="G32" s="31" t="s">
        <v>209</v>
      </c>
      <c r="H32" s="31" t="s">
        <v>205</v>
      </c>
    </row>
    <row r="33" spans="1:8" ht="24" customHeight="1" x14ac:dyDescent="0.2">
      <c r="A33" s="43" t="s">
        <v>280</v>
      </c>
      <c r="B33" s="30" t="s">
        <v>281</v>
      </c>
      <c r="C33" s="31" t="s">
        <v>270</v>
      </c>
      <c r="D33" s="30" t="s">
        <v>282</v>
      </c>
      <c r="E33" s="31" t="s">
        <v>259</v>
      </c>
      <c r="F33" s="31" t="s">
        <v>279</v>
      </c>
      <c r="G33" s="31" t="s">
        <v>209</v>
      </c>
      <c r="H33" s="31" t="s">
        <v>205</v>
      </c>
    </row>
    <row r="34" spans="1:8" ht="24" customHeight="1" x14ac:dyDescent="0.2">
      <c r="A34" s="43" t="s">
        <v>283</v>
      </c>
      <c r="B34" s="30" t="s">
        <v>284</v>
      </c>
      <c r="C34" s="31" t="s">
        <v>270</v>
      </c>
      <c r="D34" s="30" t="s">
        <v>285</v>
      </c>
      <c r="E34" s="31" t="s">
        <v>259</v>
      </c>
      <c r="F34" s="31" t="s">
        <v>196</v>
      </c>
      <c r="G34" s="31" t="s">
        <v>286</v>
      </c>
      <c r="H34" s="31" t="s">
        <v>205</v>
      </c>
    </row>
    <row r="35" spans="1:8" ht="24" customHeight="1" x14ac:dyDescent="0.2">
      <c r="A35" s="43" t="s">
        <v>287</v>
      </c>
      <c r="B35" s="30" t="s">
        <v>288</v>
      </c>
      <c r="C35" s="31" t="s">
        <v>270</v>
      </c>
      <c r="D35" s="30" t="s">
        <v>289</v>
      </c>
      <c r="E35" s="31" t="s">
        <v>259</v>
      </c>
      <c r="F35" s="31" t="s">
        <v>290</v>
      </c>
      <c r="G35" s="31" t="s">
        <v>209</v>
      </c>
      <c r="H35" s="31" t="s">
        <v>205</v>
      </c>
    </row>
    <row r="36" spans="1:8" ht="24" customHeight="1" x14ac:dyDescent="0.2">
      <c r="A36" s="43" t="s">
        <v>291</v>
      </c>
      <c r="B36" s="30" t="s">
        <v>292</v>
      </c>
      <c r="C36" s="31" t="s">
        <v>270</v>
      </c>
      <c r="D36" s="30" t="s">
        <v>293</v>
      </c>
      <c r="E36" s="31" t="s">
        <v>259</v>
      </c>
      <c r="F36" s="31" t="s">
        <v>272</v>
      </c>
      <c r="G36" s="31" t="s">
        <v>209</v>
      </c>
      <c r="H36" s="31" t="s">
        <v>205</v>
      </c>
    </row>
    <row r="37" spans="1:8" ht="24" customHeight="1" x14ac:dyDescent="0.2">
      <c r="A37" s="43" t="s">
        <v>294</v>
      </c>
      <c r="B37" s="30" t="s">
        <v>295</v>
      </c>
      <c r="C37" s="31" t="s">
        <v>270</v>
      </c>
      <c r="D37" s="30" t="s">
        <v>296</v>
      </c>
      <c r="E37" s="31" t="s">
        <v>195</v>
      </c>
      <c r="F37" s="31" t="s">
        <v>196</v>
      </c>
      <c r="G37" s="31" t="s">
        <v>213</v>
      </c>
      <c r="H37" s="31" t="s">
        <v>205</v>
      </c>
    </row>
    <row r="38" spans="1:8" ht="24" customHeight="1" x14ac:dyDescent="0.2">
      <c r="A38" s="43" t="s">
        <v>297</v>
      </c>
      <c r="B38" s="30" t="s">
        <v>298</v>
      </c>
      <c r="C38" s="31" t="s">
        <v>270</v>
      </c>
      <c r="D38" s="30" t="s">
        <v>299</v>
      </c>
      <c r="E38" s="31" t="s">
        <v>259</v>
      </c>
      <c r="F38" s="31" t="s">
        <v>272</v>
      </c>
      <c r="G38" s="31" t="s">
        <v>209</v>
      </c>
      <c r="H38" s="31" t="s">
        <v>205</v>
      </c>
    </row>
    <row r="39" spans="1:8" ht="24" customHeight="1" x14ac:dyDescent="0.2">
      <c r="A39" s="43" t="s">
        <v>300</v>
      </c>
      <c r="B39" s="30" t="s">
        <v>301</v>
      </c>
      <c r="C39" s="31" t="s">
        <v>270</v>
      </c>
      <c r="D39" s="30" t="s">
        <v>302</v>
      </c>
      <c r="E39" s="31" t="s">
        <v>259</v>
      </c>
      <c r="F39" s="31" t="s">
        <v>196</v>
      </c>
      <c r="G39" s="31" t="s">
        <v>286</v>
      </c>
      <c r="H39" s="31" t="s">
        <v>205</v>
      </c>
    </row>
    <row r="40" spans="1:8" ht="19.5" customHeight="1" x14ac:dyDescent="0.2">
      <c r="A40" s="48" t="s">
        <v>303</v>
      </c>
      <c r="B40" s="48"/>
      <c r="C40" s="48"/>
      <c r="D40" s="48"/>
      <c r="E40" s="48"/>
      <c r="F40" s="48"/>
      <c r="G40" s="48"/>
      <c r="H40" s="48"/>
    </row>
    <row r="41" spans="1:8" ht="24" customHeight="1" x14ac:dyDescent="0.2">
      <c r="A41" s="44" t="s">
        <v>304</v>
      </c>
      <c r="B41" s="45" t="s">
        <v>305</v>
      </c>
      <c r="C41" s="46" t="s">
        <v>306</v>
      </c>
      <c r="D41" s="45" t="s">
        <v>307</v>
      </c>
      <c r="E41" s="46" t="s">
        <v>195</v>
      </c>
      <c r="F41" s="46" t="s">
        <v>279</v>
      </c>
      <c r="G41" s="46" t="s">
        <v>209</v>
      </c>
      <c r="H41" s="46"/>
    </row>
    <row r="42" spans="1:8" ht="24" customHeight="1" x14ac:dyDescent="0.2">
      <c r="A42" s="44" t="s">
        <v>308</v>
      </c>
      <c r="B42" s="45" t="s">
        <v>309</v>
      </c>
      <c r="C42" s="46" t="s">
        <v>306</v>
      </c>
      <c r="D42" s="45" t="s">
        <v>310</v>
      </c>
      <c r="E42" s="46" t="s">
        <v>259</v>
      </c>
      <c r="F42" s="46" t="s">
        <v>279</v>
      </c>
      <c r="G42" s="46" t="s">
        <v>209</v>
      </c>
      <c r="H42" s="46"/>
    </row>
    <row r="43" spans="1:8" ht="24" customHeight="1" x14ac:dyDescent="0.2">
      <c r="A43" s="44" t="s">
        <v>311</v>
      </c>
      <c r="B43" s="45" t="s">
        <v>312</v>
      </c>
      <c r="C43" s="46" t="s">
        <v>306</v>
      </c>
      <c r="D43" s="45" t="s">
        <v>313</v>
      </c>
      <c r="E43" s="46" t="s">
        <v>259</v>
      </c>
      <c r="F43" s="46" t="s">
        <v>279</v>
      </c>
      <c r="G43" s="46" t="s">
        <v>209</v>
      </c>
      <c r="H43" s="46"/>
    </row>
    <row r="44" spans="1:8" ht="24" customHeight="1" x14ac:dyDescent="0.2">
      <c r="A44" s="44" t="s">
        <v>314</v>
      </c>
      <c r="B44" s="45" t="s">
        <v>315</v>
      </c>
      <c r="C44" s="46" t="s">
        <v>306</v>
      </c>
      <c r="D44" s="45" t="s">
        <v>316</v>
      </c>
      <c r="E44" s="46" t="s">
        <v>259</v>
      </c>
      <c r="F44" s="46" t="s">
        <v>196</v>
      </c>
      <c r="G44" s="46" t="s">
        <v>209</v>
      </c>
      <c r="H44" s="46"/>
    </row>
    <row r="45" spans="1:8" ht="24" customHeight="1" x14ac:dyDescent="0.2">
      <c r="A45" s="44" t="s">
        <v>317</v>
      </c>
      <c r="B45" s="45" t="s">
        <v>318</v>
      </c>
      <c r="C45" s="46" t="s">
        <v>306</v>
      </c>
      <c r="D45" s="45" t="s">
        <v>319</v>
      </c>
      <c r="E45" s="46" t="s">
        <v>195</v>
      </c>
      <c r="F45" s="46" t="s">
        <v>290</v>
      </c>
      <c r="G45" s="46" t="s">
        <v>209</v>
      </c>
      <c r="H45" s="46"/>
    </row>
    <row r="46" spans="1:8" ht="24" customHeight="1" x14ac:dyDescent="0.2">
      <c r="A46" s="44" t="s">
        <v>320</v>
      </c>
      <c r="B46" s="45" t="s">
        <v>321</v>
      </c>
      <c r="C46" s="46" t="s">
        <v>306</v>
      </c>
      <c r="D46" s="45" t="s">
        <v>322</v>
      </c>
      <c r="E46" s="46" t="s">
        <v>259</v>
      </c>
      <c r="F46" s="46" t="s">
        <v>272</v>
      </c>
      <c r="G46" s="46" t="s">
        <v>209</v>
      </c>
      <c r="H46" s="46"/>
    </row>
    <row r="47" spans="1:8" ht="24" customHeight="1" x14ac:dyDescent="0.2">
      <c r="A47" s="44" t="s">
        <v>323</v>
      </c>
      <c r="B47" s="45" t="s">
        <v>324</v>
      </c>
      <c r="C47" s="46" t="s">
        <v>306</v>
      </c>
      <c r="D47" s="45" t="s">
        <v>325</v>
      </c>
      <c r="E47" s="46" t="s">
        <v>259</v>
      </c>
      <c r="F47" s="46" t="s">
        <v>272</v>
      </c>
      <c r="G47" s="46" t="s">
        <v>209</v>
      </c>
      <c r="H47" s="46"/>
    </row>
    <row r="48" spans="1:8" ht="24" customHeight="1" x14ac:dyDescent="0.2">
      <c r="A48" s="44" t="s">
        <v>326</v>
      </c>
      <c r="B48" s="45" t="s">
        <v>327</v>
      </c>
      <c r="C48" s="46" t="s">
        <v>306</v>
      </c>
      <c r="D48" s="45" t="s">
        <v>328</v>
      </c>
      <c r="E48" s="46" t="s">
        <v>195</v>
      </c>
      <c r="F48" s="46" t="s">
        <v>196</v>
      </c>
      <c r="G48" s="46" t="s">
        <v>213</v>
      </c>
      <c r="H48" s="46"/>
    </row>
    <row r="49" spans="1:8" ht="24" customHeight="1" x14ac:dyDescent="0.2">
      <c r="A49" s="44" t="s">
        <v>329</v>
      </c>
      <c r="B49" s="45" t="s">
        <v>330</v>
      </c>
      <c r="C49" s="46" t="s">
        <v>306</v>
      </c>
      <c r="D49" s="45" t="s">
        <v>331</v>
      </c>
      <c r="E49" s="46" t="s">
        <v>195</v>
      </c>
      <c r="F49" s="46" t="s">
        <v>196</v>
      </c>
      <c r="G49" s="46" t="s">
        <v>286</v>
      </c>
      <c r="H49" s="46"/>
    </row>
    <row r="50" spans="1:8" ht="24" customHeight="1" x14ac:dyDescent="0.2">
      <c r="A50" s="44" t="s">
        <v>332</v>
      </c>
      <c r="B50" s="45" t="s">
        <v>333</v>
      </c>
      <c r="C50" s="46" t="s">
        <v>306</v>
      </c>
      <c r="D50" s="45" t="s">
        <v>334</v>
      </c>
      <c r="E50" s="46" t="s">
        <v>259</v>
      </c>
      <c r="F50" s="46" t="s">
        <v>196</v>
      </c>
      <c r="G50" s="46" t="s">
        <v>286</v>
      </c>
      <c r="H50" s="46"/>
    </row>
    <row r="52" spans="1:8" ht="30" customHeight="1" x14ac:dyDescent="0.2">
      <c r="A52" s="55" t="s">
        <v>335</v>
      </c>
      <c r="B52" s="55"/>
      <c r="C52" s="55"/>
      <c r="D52" s="55"/>
      <c r="E52" s="55"/>
      <c r="F52" s="55"/>
      <c r="G52" s="55"/>
      <c r="H52" s="55"/>
    </row>
  </sheetData>
  <mergeCells count="9">
    <mergeCell ref="A25:H25"/>
    <mergeCell ref="A29:H29"/>
    <mergeCell ref="A40:H40"/>
    <mergeCell ref="A52:H52"/>
    <mergeCell ref="A1:H1"/>
    <mergeCell ref="A2:H2"/>
    <mergeCell ref="A5:H5"/>
    <mergeCell ref="A14:H14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✅ Checklist</vt:lpstr>
      <vt:lpstr>💼 Template โปรเจค (Copy ใช้ซ้ำ</vt:lpstr>
      <vt:lpstr>🔁 รายจ่ายประจำ</vt:lpstr>
      <vt:lpstr>🏗️ ทะเบียนทรัพย์สิน</vt:lpstr>
      <vt:lpstr>📊 ผังบัญชี FlowAccount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prinyavee jitworachipong</cp:lastModifiedBy>
  <cp:revision>0</cp:revision>
  <dcterms:created xsi:type="dcterms:W3CDTF">2026-03-02T06:01:19Z</dcterms:created>
  <dcterms:modified xsi:type="dcterms:W3CDTF">2026-03-06T09:18:53Z</dcterms:modified>
  <dc:language>en-US</dc:language>
</cp:coreProperties>
</file>