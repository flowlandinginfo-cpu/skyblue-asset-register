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 วัสดุและค่าแรง" sheetId="1" state="visible" r:id="rId3"/>
    <sheet name="งวดงาน + Gantt Plan" sheetId="2" state="visible" r:id="rId4"/>
    <sheet name="ติดตามการเบิกจ่าย" sheetId="3" state="visible" r:id="rId5"/>
    <sheet name="ทีมงานหน้างาน" sheetId="4" state="visible" r:id="rId6"/>
    <sheet name="Daily Report Templa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<sst xmlns="http://schemas.openxmlformats.org/spreadsheetml/2006/main" count="440" uniqueCount="303">
  <si>
    <t xml:space="preserve">SKY BLUE CONSTRUCTION — ใบราคากลาง (BOQ) วัสดุก่อสร้างและค่าแรง</t>
  </si>
  <si>
    <t xml:space="preserve">Bill of Quantities — วัสดุและค่าแรงแต่ละโปรเจค</t>
  </si>
  <si>
    <t xml:space="preserve">ชื่อโปรเจค :</t>
  </si>
  <si>
    <t xml:space="preserve">เลขที่สัญญา :</t>
  </si>
  <si>
    <t xml:space="preserve">เจ้าของโปรเจค :</t>
  </si>
  <si>
    <t xml:space="preserve">วันที่เริ่ม :</t>
  </si>
  <si>
    <t xml:space="preserve">วันที่สิ้นสุด :</t>
  </si>
  <si>
    <t xml:space="preserve">วิศวกรผู้รับผิดชอบ :</t>
  </si>
  <si>
    <t xml:space="preserve">มูลค่าสัญญา (บาท) :</t>
  </si>
  <si>
    <t xml:space="preserve">จำนวนงวดงาน :</t>
  </si>
  <si>
    <t xml:space="preserve">Site Manager :</t>
  </si>
  <si>
    <t xml:space="preserve">ส่วนที่ 1 — วัสดุก่อสร้าง (Construction Materials)</t>
  </si>
  <si>
    <t xml:space="preserve">ลำดับ</t>
  </si>
  <si>
    <t xml:space="preserve">หมวดหมู่</t>
  </si>
  <si>
    <t xml:space="preserve">รายการวัสดุ</t>
  </si>
  <si>
    <t xml:space="preserve">รหัสวัสดุ</t>
  </si>
  <si>
    <t xml:space="preserve">หน่วย</t>
  </si>
  <si>
    <t xml:space="preserve">ปริมาณ
(แผนจริง)</t>
  </si>
  <si>
    <t xml:space="preserve">Buffer
(+%)</t>
  </si>
  <si>
    <t xml:space="preserve">ปริมาณ
รวม Buffer</t>
  </si>
  <si>
    <t xml:space="preserve">ราคาต่อหน่วย
(บาท)</t>
  </si>
  <si>
    <t xml:space="preserve">ราคารวม
(บาท)</t>
  </si>
  <si>
    <t xml:space="preserve">ราคารวม+Buffer
(บาท)</t>
  </si>
  <si>
    <t xml:space="preserve">งวดที่ใช้</t>
  </si>
  <si>
    <t xml:space="preserve">ผู้จัดหา
(ซัพพลายเออร์)</t>
  </si>
  <si>
    <t xml:space="preserve">หมายเหตุ</t>
  </si>
  <si>
    <t xml:space="preserve">1</t>
  </si>
  <si>
    <t xml:space="preserve">คอนกรีต</t>
  </si>
  <si>
    <t xml:space="preserve">ปูนซีเมนต์ตราช้าง 50 กก.</t>
  </si>
  <si>
    <t xml:space="preserve">MAT-CON-001</t>
  </si>
  <si>
    <t xml:space="preserve">ถุง</t>
  </si>
  <si>
    <t xml:space="preserve">200</t>
  </si>
  <si>
    <t xml:space="preserve">5%</t>
  </si>
  <si>
    <t xml:space="preserve">฿ 120</t>
  </si>
  <si>
    <t xml:space="preserve">งวด 1</t>
  </si>
  <si>
    <t xml:space="preserve">บริษัท TPI จำกัด</t>
  </si>
  <si>
    <t xml:space="preserve">2</t>
  </si>
  <si>
    <t xml:space="preserve">หินย่อย 3/4 นิ้ว</t>
  </si>
  <si>
    <t xml:space="preserve">MAT-CON-002</t>
  </si>
  <si>
    <t xml:space="preserve">ลบ.ม.</t>
  </si>
  <si>
    <t xml:space="preserve">50</t>
  </si>
  <si>
    <t xml:space="preserve">฿ 800</t>
  </si>
  <si>
    <t xml:space="preserve">3</t>
  </si>
  <si>
    <t xml:space="preserve">ทรายหยาบ</t>
  </si>
  <si>
    <t xml:space="preserve">MAT-CON-003</t>
  </si>
  <si>
    <t xml:space="preserve">40</t>
  </si>
  <si>
    <t xml:space="preserve">฿ 550</t>
  </si>
  <si>
    <t xml:space="preserve">4</t>
  </si>
  <si>
    <t xml:space="preserve">เหล็ก</t>
  </si>
  <si>
    <t xml:space="preserve">เหล็กเส้น SD40 ขนาด 12 มม.</t>
  </si>
  <si>
    <t xml:space="preserve">MAT-STL-001</t>
  </si>
  <si>
    <t xml:space="preserve">เส้น</t>
  </si>
  <si>
    <t xml:space="preserve">300</t>
  </si>
  <si>
    <t xml:space="preserve">10%</t>
  </si>
  <si>
    <t xml:space="preserve">฿ 185</t>
  </si>
  <si>
    <t xml:space="preserve">งวด 1-2</t>
  </si>
  <si>
    <t xml:space="preserve">5</t>
  </si>
  <si>
    <t xml:space="preserve">เหล็กเส้น SD40 ขนาด 16 มม.</t>
  </si>
  <si>
    <t xml:space="preserve">MAT-STL-002</t>
  </si>
  <si>
    <t xml:space="preserve">150</t>
  </si>
  <si>
    <t xml:space="preserve">฿ 290</t>
  </si>
  <si>
    <t xml:space="preserve">6</t>
  </si>
  <si>
    <t xml:space="preserve">ไม้แบบ</t>
  </si>
  <si>
    <t xml:space="preserve">ไม้แบบโครงสร้าง 2 นิ้ว</t>
  </si>
  <si>
    <t xml:space="preserve">MAT-WOD-001</t>
  </si>
  <si>
    <t xml:space="preserve">แผ่น</t>
  </si>
  <si>
    <t xml:space="preserve">500</t>
  </si>
  <si>
    <t xml:space="preserve">8%</t>
  </si>
  <si>
    <t xml:space="preserve">฿ 80</t>
  </si>
  <si>
    <t xml:space="preserve">7</t>
  </si>
  <si>
    <t xml:space="preserve">กระเบื้อง</t>
  </si>
  <si>
    <t xml:space="preserve">กระเบื้องปูพื้น 60x60</t>
  </si>
  <si>
    <t xml:space="preserve">MAT-TIL-001</t>
  </si>
  <si>
    <t xml:space="preserve">ตร.ม.</t>
  </si>
  <si>
    <t xml:space="preserve">งวด 3</t>
  </si>
  <si>
    <t xml:space="preserve">8</t>
  </si>
  <si>
    <t xml:space="preserve">ประตู-หน้าต่าง</t>
  </si>
  <si>
    <t xml:space="preserve">ประตู UPVC</t>
  </si>
  <si>
    <t xml:space="preserve">MAT-DOR-001</t>
  </si>
  <si>
    <t xml:space="preserve">ชุด</t>
  </si>
  <si>
    <t xml:space="preserve">รวมค่าวัสดุทั้งหมด</t>
  </si>
  <si>
    <t xml:space="preserve">ส่วนที่ 2 — ค่าแรงก่อสร้าง (Labor Cost)</t>
  </si>
  <si>
    <t xml:space="preserve">ประเภทงาน</t>
  </si>
  <si>
    <t xml:space="preserve">รายละเอียดงาน</t>
  </si>
  <si>
    <t xml:space="preserve">ปริมาณงาน</t>
  </si>
  <si>
    <t xml:space="preserve">อัตราค่าแรง
(บาท/หน่วย)</t>
  </si>
  <si>
    <t xml:space="preserve">ค่าแรงรวม
(บาท)</t>
  </si>
  <si>
    <t xml:space="preserve">จำนวน
แรงงาน</t>
  </si>
  <si>
    <t xml:space="preserve">ระยะเวลา
(วัน)</t>
  </si>
  <si>
    <t xml:space="preserve">งวดที่</t>
  </si>
  <si>
    <t xml:space="preserve">หัวหน้าทีม</t>
  </si>
  <si>
    <t xml:space="preserve">วันที่เริ่ม</t>
  </si>
  <si>
    <t xml:space="preserve">วันที่สิ้นสุด</t>
  </si>
  <si>
    <t xml:space="preserve">งานโครงสร้าง</t>
  </si>
  <si>
    <t xml:space="preserve">งานขุดดินฐานราก</t>
  </si>
  <si>
    <t xml:space="preserve">งานเทคอนกรีตฐานราก</t>
  </si>
  <si>
    <t xml:space="preserve">งานเหล็กโครงสร้าง</t>
  </si>
  <si>
    <t xml:space="preserve">กก.</t>
  </si>
  <si>
    <t xml:space="preserve">งานสถาปัตย์</t>
  </si>
  <si>
    <t xml:space="preserve">งานก่ออิฐฉาบปูน</t>
  </si>
  <si>
    <t xml:space="preserve">งวด 2</t>
  </si>
  <si>
    <t xml:space="preserve">งานทาสี</t>
  </si>
  <si>
    <t xml:space="preserve">งานระบบ</t>
  </si>
  <si>
    <t xml:space="preserve">งานระบบไฟฟ้า</t>
  </si>
  <si>
    <t xml:space="preserve">จุด</t>
  </si>
  <si>
    <t xml:space="preserve">งวด 2-3</t>
  </si>
  <si>
    <t xml:space="preserve">งานระบบประปา</t>
  </si>
  <si>
    <t xml:space="preserve">งานตกแต่ง</t>
  </si>
  <si>
    <t xml:space="preserve">งานกระเบื้องพื้น</t>
  </si>
  <si>
    <t xml:space="preserve">รวมค่าแรงทั้งหมด</t>
  </si>
  <si>
    <t xml:space="preserve">งบประมาณรวมทั้งโปรเจค (วัสดุ + ค่าแรง รวม Buffer)</t>
  </si>
  <si>
    <t xml:space="preserve">SKY BLUE CONSTRUCTION — แผนงวดงาน &amp; Gantt Chart Planning</t>
  </si>
  <si>
    <t xml:space="preserve">ข้อมูลนี้จะนำไปสร้าง Gantt Chart: Plan vs Actual ในระบบ</t>
  </si>
  <si>
    <t xml:space="preserve">มูลค่าสัญญา :</t>
  </si>
  <si>
    <t xml:space="preserve">วิศวกร :</t>
  </si>
  <si>
    <t xml:space="preserve">รายละเอียดงวดงาน
(Milestone)</t>
  </si>
  <si>
    <t xml:space="preserve">Task หลัก</t>
  </si>
  <si>
    <t xml:space="preserve">หน่วยวัดความสำเร็จ</t>
  </si>
  <si>
    <t xml:space="preserve">% ของงวด</t>
  </si>
  <si>
    <t xml:space="preserve">% ของโปรเจค
รวม</t>
  </si>
  <si>
    <t xml:space="preserve">วันที่เริ่มต้น
(Plan)</t>
  </si>
  <si>
    <t xml:space="preserve">วันที่สิ้นสุด
(Plan)</t>
  </si>
  <si>
    <t xml:space="preserve">จำนวน
วัน (Plan)</t>
  </si>
  <si>
    <t xml:space="preserve">วันที่เริ่มต้น
(Actual)</t>
  </si>
  <si>
    <t xml:space="preserve">วันที่สิ้นสุด
(Actual)</t>
  </si>
  <si>
    <t xml:space="preserve">จำนวนวัน
(Actual)</t>
  </si>
  <si>
    <t xml:space="preserve">ผู้รับผิดชอบ</t>
  </si>
  <si>
    <t xml:space="preserve">% Actual
สำเร็จ</t>
  </si>
  <si>
    <t xml:space="preserve">สถานะ</t>
  </si>
  <si>
    <t xml:space="preserve">งวดที่ 1: งานเตรียมพื้นที่
&amp; โครงสร้างฐานราก</t>
  </si>
  <si>
    <t xml:space="preserve">- งานสำรวจและวางผัง
- งานขุดดิน
- งานฐานราก
- งานเสาตอม่อ</t>
  </si>
  <si>
    <t xml:space="preserve">ตรวจรับโครงสร้างฐานราก
จากวิศวกรโครงสร้าง</t>
  </si>
  <si>
    <t xml:space="preserve">100%</t>
  </si>
  <si>
    <t xml:space="preserve">25%</t>
  </si>
  <si>
    <t xml:space="preserve">🟡 รอเริ่ม</t>
  </si>
  <si>
    <t xml:space="preserve">- งานเทคอนกรีตเสา</t>
  </si>
  <si>
    <t xml:space="preserve">งวดที่ 2: งานโครงสร้าง
ชั้นบน &amp; ผนัง</t>
  </si>
  <si>
    <t xml:space="preserve">- งานโครงสร้างชั้น 2
- งานหลังคาโครงเหล็ก
- งานก่ออิฐผนัง
- งานฉาบปูน</t>
  </si>
  <si>
    <t xml:space="preserve">ตรวจรับงานโครงสร้าง
และผนังครบ</t>
  </si>
  <si>
    <t xml:space="preserve">- งานระบบไฟฟ้า/ประปา
  (Rough-in)</t>
  </si>
  <si>
    <t xml:space="preserve">งวดที่ 3: งานสถาปัตย์
&amp; ระบบ</t>
  </si>
  <si>
    <t xml:space="preserve">- งานประตู-หน้าต่าง
- งานกระเบื้อง
- งานระบบไฟฟ้าเสร็จ
- งานระบบประปาเสร็จ</t>
  </si>
  <si>
    <t xml:space="preserve">ตรวจรับงานระบบและ
งานตกแต่งภายใน</t>
  </si>
  <si>
    <t xml:space="preserve">30%</t>
  </si>
  <si>
    <t xml:space="preserve">- งานสี</t>
  </si>
  <si>
    <t xml:space="preserve">งวดที่ 4: งานตกแต่ง
&amp; ส่งมอบ</t>
  </si>
  <si>
    <t xml:space="preserve">- งานภูมิทัศน์
- งานทำความสะอาด
- Punch List
- ส่งมอบงาน</t>
  </si>
  <si>
    <t xml:space="preserve">ส่งมอบงานพร้อม
ใบรับรอง</t>
  </si>
  <si>
    <t xml:space="preserve">20%</t>
  </si>
  <si>
    <t xml:space="preserve">รวม % งานทั้งหมด (ควรได้ = 100%)</t>
  </si>
  <si>
    <t xml:space="preserve">SKY BLUE CONSTRUCTION — ติดตามการเบิกวัสดุ &amp; ค่าแรง vs งบที่อนุมัติ</t>
  </si>
  <si>
    <t xml:space="preserve">ข้อมูลนี้ใช้คำนวณ % ความสำเร็จจริง (Actual Progress) ของแต่ละโปรเจค</t>
  </si>
  <si>
    <t xml:space="preserve">งบรวม :</t>
  </si>
  <si>
    <t xml:space="preserve">รายการ
(วัสดุ/ค่าแรง)</t>
  </si>
  <si>
    <t xml:space="preserve">งบที่อนุมัติ
(บาท)</t>
  </si>
  <si>
    <t xml:space="preserve">เบิกจ่ายแล้ว
(บาท)</t>
  </si>
  <si>
    <t xml:space="preserve">คงเหลือ
(บาท)</t>
  </si>
  <si>
    <t xml:space="preserve">% เบิกจ่าย
แล้ว</t>
  </si>
  <si>
    <t xml:space="preserve">วันที่เบิก</t>
  </si>
  <si>
    <t xml:space="preserve">ผู้อนุมัติ</t>
  </si>
  <si>
    <t xml:space="preserve">เลขที่ใบเบิก</t>
  </si>
  <si>
    <t xml:space="preserve">แนบเอกสาร
(Y/N)</t>
  </si>
  <si>
    <t xml:space="preserve">ค่าวัสดุฐานราก (ปูน+หิน+ทราย)</t>
  </si>
  <si>
    <t xml:space="preserve">250000</t>
  </si>
  <si>
    <t xml:space="preserve">ค่าเหล็กโครงสร้าง SD40</t>
  </si>
  <si>
    <t xml:space="preserve">180000</t>
  </si>
  <si>
    <t xml:space="preserve">ค่าแรงขุดดิน+ฐานราก</t>
  </si>
  <si>
    <t xml:space="preserve">งาน</t>
  </si>
  <si>
    <t xml:space="preserve">120000</t>
  </si>
  <si>
    <t xml:space="preserve">ค่าวัสดุโครงสร้างชั้นบน</t>
  </si>
  <si>
    <t xml:space="preserve">350000</t>
  </si>
  <si>
    <t xml:space="preserve">ค่าแรงโครงสร้าง+ก่ออิฐ</t>
  </si>
  <si>
    <t xml:space="preserve">200000</t>
  </si>
  <si>
    <t xml:space="preserve">ค่าวัสดุระบบ+ตกแต่ง</t>
  </si>
  <si>
    <t xml:space="preserve">280000</t>
  </si>
  <si>
    <t xml:space="preserve">ค่าแรงระบบ+ตกแต่ง</t>
  </si>
  <si>
    <t xml:space="preserve">150000</t>
  </si>
  <si>
    <t xml:space="preserve">งวด 4</t>
  </si>
  <si>
    <t xml:space="preserve">ค่าวัสดุงานส่งมอบ</t>
  </si>
  <si>
    <t xml:space="preserve">80000</t>
  </si>
  <si>
    <t xml:space="preserve">9</t>
  </si>
  <si>
    <t xml:space="preserve">ค่าแรงงานส่งมอบ</t>
  </si>
  <si>
    <t xml:space="preserve">50000</t>
  </si>
  <si>
    <t xml:space="preserve">รวมทั้งหมด</t>
  </si>
  <si>
    <t xml:space="preserve">SKY BLUE CONSTRUCTION — ทะเบียนทีมงานหน้างาน (Site Personnel Register)</t>
  </si>
  <si>
    <t xml:space="preserve">ชื่อ-นามสกุล</t>
  </si>
  <si>
    <t xml:space="preserve">ตำแหน่ง
(Role)</t>
  </si>
  <si>
    <t xml:space="preserve">โปรเจคที่รับผิดชอบ</t>
  </si>
  <si>
    <t xml:space="preserve">หมายเลขโทรศัพท์</t>
  </si>
  <si>
    <t xml:space="preserve">LINE ID</t>
  </si>
  <si>
    <t xml:space="preserve">ระดับ
การเข้าถึง</t>
  </si>
  <si>
    <t xml:space="preserve">วันที่เริ่มงาน</t>
  </si>
  <si>
    <t xml:space="preserve">รายงานให้</t>
  </si>
  <si>
    <t xml:space="preserve">นายอิรสปัณย์ มานิ</t>
  </si>
  <si>
    <t xml:space="preserve">วิศวกรควบคุมงาน (Site Engineer)</t>
  </si>
  <si>
    <t xml:space="preserve">อาคารสำนักงาน อบต.บันนังสาเรง + โปรเจคระบายน้ำยะลา</t>
  </si>
  <si>
    <t xml:space="preserve">Engineer (วิศวกร)</t>
  </si>
  <si>
    <t xml:space="preserve">นายอาชี ยีมานิ</t>
  </si>
  <si>
    <t xml:space="preserve">นายลุคมัน มะแสะ</t>
  </si>
  <si>
    <t xml:space="preserve">โฟร์แมน (Foreman)</t>
  </si>
  <si>
    <t xml:space="preserve">อาคารสำนักงาน อบต.บันนังสาเรง</t>
  </si>
  <si>
    <t xml:space="preserve">Foreman (โฟร์แมน)</t>
  </si>
  <si>
    <t xml:space="preserve">Site Manager</t>
  </si>
  <si>
    <t xml:space="preserve">Manager (ผู้จัดการ)</t>
  </si>
  <si>
    <t xml:space="preserve">ช่างฝีมือ</t>
  </si>
  <si>
    <t xml:space="preserve">Worker (พนักงานหน้างาน)</t>
  </si>
  <si>
    <t xml:space="preserve">แรงงานทั่วไป</t>
  </si>
  <si>
    <t xml:space="preserve">🏗️  SKY BLUE CONSTRUCTION — Daily Site Report (ตัวอย่าง Output ที่ AI สร้างให้)</t>
  </si>
  <si>
    <t xml:space="preserve">📱 กระบวนการ: พนักงานหน้างาน → ถ่ายรูป + พิมพ์อัพเดตใน LINE OA → AI ประมวลผล → สร้าง Daily Report อัตโนมัติ</t>
  </si>
  <si>
    <t xml:space="preserve">📋 รายงานประจำวัน</t>
  </si>
  <si>
    <t xml:space="preserve">Daily Site Report</t>
  </si>
  <si>
    <t xml:space="preserve">โปรเจค :</t>
  </si>
  <si>
    <t xml:space="preserve">[ชื่อโปรเจค - AI กรอกอัตโนมัติ]</t>
  </si>
  <si>
    <t xml:space="preserve">วันที่รายงาน :</t>
  </si>
  <si>
    <t xml:space="preserve">[วันที่ - AI กรอกอัตโนมัติ]</t>
  </si>
  <si>
    <t xml:space="preserve">ผู้รายงาน :</t>
  </si>
  <si>
    <t xml:space="preserve">[ชื่อพนักงาน - ดึงจาก LINE Profile]</t>
  </si>
  <si>
    <t xml:space="preserve">สภาพอากาศ :</t>
  </si>
  <si>
    <t xml:space="preserve">[AI วิเคราะห์จากรูปหรือ API สภาพอากาศ]</t>
  </si>
  <si>
    <t xml:space="preserve">งวดงานปัจจุบัน :</t>
  </si>
  <si>
    <t xml:space="preserve">[งวดที่ X - AI ดึงจากระบบ]</t>
  </si>
  <si>
    <t xml:space="preserve">👷 ส่วนที่ 1 — สรุปแรงงานประจำวัน (AI สรุปจากข้อความที่พิมพ์ใน LINE)</t>
  </si>
  <si>
    <t xml:space="preserve">ประเภทแรงงาน</t>
  </si>
  <si>
    <t xml:space="preserve">เวลาเข้างาน</t>
  </si>
  <si>
    <t xml:space="preserve">เวลาออกงาน</t>
  </si>
  <si>
    <t xml:space="preserve">ชั่วโมงทำงาน</t>
  </si>
  <si>
    <t xml:space="preserve">งานที่รับผิดชอบ</t>
  </si>
  <si>
    <t xml:space="preserve">พื้นที่ทำงาน</t>
  </si>
  <si>
    <t xml:space="preserve">OT (ชม.)</t>
  </si>
  <si>
    <t xml:space="preserve">โฟร์แมน</t>
  </si>
  <si>
    <t xml:space="preserve">[ชื่อ - AI ดึงจาก LINE]</t>
  </si>
  <si>
    <t xml:space="preserve">07:30</t>
  </si>
  <si>
    <t xml:space="preserve">17:00</t>
  </si>
  <si>
    <t xml:space="preserve">คุมงานโครงสร้าง</t>
  </si>
  <si>
    <t xml:space="preserve">พื้นที่ A</t>
  </si>
  <si>
    <t xml:space="preserve">0</t>
  </si>
  <si>
    <t xml:space="preserve">✅ ทำงานปกติ</t>
  </si>
  <si>
    <t xml:space="preserve">งานแบบหล่อ</t>
  </si>
  <si>
    <t xml:space="preserve">พื้นที่ B</t>
  </si>
  <si>
    <t xml:space="preserve">แรงงาน</t>
  </si>
  <si>
    <t xml:space="preserve">ขนวัสดุ</t>
  </si>
  <si>
    <t xml:space="preserve">ทั่วไป</t>
  </si>
  <si>
    <t xml:space="preserve">ลาป่วย</t>
  </si>
  <si>
    <t xml:space="preserve">❌ ขาดงาน</t>
  </si>
  <si>
    <t xml:space="preserve">📊 ส่วนที่ 2 — ความคืบหน้างานประจำวัน (AI สรุปจากคำอธิบายและรูปภาพ)</t>
  </si>
  <si>
    <t xml:space="preserve">งานที่ทำวันนี้</t>
  </si>
  <si>
    <t xml:space="preserve">รายละเอียด</t>
  </si>
  <si>
    <t xml:space="preserve">%แผน
เริ่มต้น</t>
  </si>
  <si>
    <t xml:space="preserve">%ที่ทำได้
วันนี้</t>
  </si>
  <si>
    <t xml:space="preserve">%สะสม
รวม</t>
  </si>
  <si>
    <t xml:space="preserve">ปัญหา/อุปสรรค</t>
  </si>
  <si>
    <t xml:space="preserve">การแก้ไข</t>
  </si>
  <si>
    <t xml:space="preserve">วัสดุที่ใช้</t>
  </si>
  <si>
    <t xml:space="preserve">จำนวน/หน่วย</t>
  </si>
  <si>
    <t xml:space="preserve">รูปภาพหลักฐาน</t>
  </si>
  <si>
    <t xml:space="preserve">งานเทคอนกรีตเสา A1-A5</t>
  </si>
  <si>
    <t xml:space="preserve">เทคอนกรีต Grade 240 เสาชั้น 1 จำนวน 5 ต้น</t>
  </si>
  <si>
    <t xml:space="preserve">15%</t>
  </si>
  <si>
    <t xml:space="preserve">คอนกรีตส่งช้า 2 ชม.</t>
  </si>
  <si>
    <t xml:space="preserve">ประสานงานกับซัพพลายเออร์</t>
  </si>
  <si>
    <t xml:space="preserve">คอนกรีต Grade 240</t>
  </si>
  <si>
    <t xml:space="preserve">5 คิว</t>
  </si>
  <si>
    <t xml:space="preserve">📸 มี</t>
  </si>
  <si>
    <t xml:space="preserve">งานเหล็กชั้น 2</t>
  </si>
  <si>
    <t xml:space="preserve">วางเหล็ก SD40 ขนาด 16mm ชั้น 2 บริเวณ Zone B</t>
  </si>
  <si>
    <t xml:space="preserve">3%</t>
  </si>
  <si>
    <t xml:space="preserve">13%</t>
  </si>
  <si>
    <t xml:space="preserve">-</t>
  </si>
  <si>
    <t xml:space="preserve">เหล็ก SD40 16mm</t>
  </si>
  <si>
    <t xml:space="preserve">150 เส้น</t>
  </si>
  <si>
    <t xml:space="preserve">งานขนวัสดุ</t>
  </si>
  <si>
    <t xml:space="preserve">ขนทรายและหินย่อยเข้าพื้นที่งาน</t>
  </si>
  <si>
    <t xml:space="preserve">ทราย/หิน</t>
  </si>
  <si>
    <t xml:space="preserve">2 คิว</t>
  </si>
  <si>
    <t xml:space="preserve">📸 ส่วนที่ 3 — บันทึกภาพถ่ายหน้างาน (Photo Log)</t>
  </si>
  <si>
    <t xml:space="preserve">📁 ลิงก์ Google Drive</t>
  </si>
  <si>
    <t xml:space="preserve">รูปที่ 1</t>
  </si>
  <si>
    <t xml:space="preserve">[Link รูป - AI แนบอัตโนมัติจาก LINE]</t>
  </si>
  <si>
    <t xml:space="preserve">ภาพรวมหน้างานตอนเช้า</t>
  </si>
  <si>
    <t xml:space="preserve">07:35</t>
  </si>
  <si>
    <t xml:space="preserve">รูปที่ 2</t>
  </si>
  <si>
    <t xml:space="preserve">งานเทคอนกรีตเสา A1</t>
  </si>
  <si>
    <t xml:space="preserve">10:22</t>
  </si>
  <si>
    <t xml:space="preserve">รูปที่ 3</t>
  </si>
  <si>
    <t xml:space="preserve">งานเหล็ก Zone B</t>
  </si>
  <si>
    <t xml:space="preserve">14:15</t>
  </si>
  <si>
    <t xml:space="preserve">รูปที่ 4</t>
  </si>
  <si>
    <t xml:space="preserve">ภาพรวมหน้างานตอนเย็น</t>
  </si>
  <si>
    <t xml:space="preserve">17:05</t>
  </si>
  <si>
    <t xml:space="preserve">🤖 ส่วนที่ 4 — AI Summary สำหรับส่งเจ้าของบริษัทและผู้จัดการ</t>
  </si>
  <si>
    <t xml:space="preserve">✅ สรุปงานวันนี้ (AI เขียนให้):</t>
  </si>
  <si>
    <t xml:space="preserve">[AI: เทคอนกรีตเสาชั้น 1 ได้ 5 ต้น, งานเหล็ก Zone B ตามแผน, ขนวัสดุเสร็จ]</t>
  </si>
  <si>
    <t xml:space="preserve">⚠️ ปัญหาและอุปสรรค:</t>
  </si>
  <si>
    <t xml:space="preserve">[AI: คอนกรีตส่งช้า 2 ชม. — แก้ไขแล้ว]</t>
  </si>
  <si>
    <t xml:space="preserve">📈 % ความคืบหน้าสะสม:</t>
  </si>
  <si>
    <t xml:space="preserve">[AI คำนวณ: 37% ของงวดที่ 1]</t>
  </si>
  <si>
    <t xml:space="preserve">💰 วัสดุที่ใช้วันนี้ (มูลค่าประมาณ):</t>
  </si>
  <si>
    <t xml:space="preserve">[AI คำนวณจาก BOQ: ประมาณ ฿ 45,000]</t>
  </si>
  <si>
    <t xml:space="preserve">👷 แรงงานรวม:</t>
  </si>
  <si>
    <t xml:space="preserve">[AI นับ: 12 คน / ขาด 1 คน (ลาป่วย)]</t>
  </si>
  <si>
    <t xml:space="preserve">📅 งานพรุ่งนี้ (แผน):</t>
  </si>
  <si>
    <t xml:space="preserve">[AI ดึงจาก Gantt: งานเหล็กชั้น 2 Zone A, เทคอนกรีตเสา A6-A10]</t>
  </si>
  <si>
    <t xml:space="preserve">⚡ ระบบนี้ทำงานอัตโนมัติ: พนักงานส่งรูป + ข้อความใน LINE OA → n8n + AI Agent → สร้าง Report → ส่งให้เจ้าของและผู้จัดการอัตโนมัติ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</si>
</sst>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[hh]:mm:ss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9731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97316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i val="true"/>
      <sz val="10"/>
      <color rgb="FF2563EB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2563E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563EB"/>
        <bgColor rgb="FF0066CC"/>
      </patternFill>
    </fill>
    <fill>
      <patternFill patternType="solid">
        <fgColor rgb="FFFEF08A"/>
        <bgColor rgb="FFFEF9C3"/>
      </patternFill>
    </fill>
    <fill>
      <patternFill patternType="solid">
        <fgColor rgb="FFDBEAFE"/>
        <bgColor rgb="FFD1FAE5"/>
      </patternFill>
    </fill>
    <fill>
      <patternFill patternType="solid">
        <fgColor rgb="FFFEF9C3"/>
        <bgColor rgb="FFFEF08A"/>
      </patternFill>
    </fill>
    <fill>
      <patternFill patternType="solid">
        <fgColor rgb="FF16A34A"/>
        <bgColor rgb="FF008080"/>
      </patternFill>
    </fill>
    <fill>
      <patternFill patternType="solid">
        <fgColor rgb="FFD1FAE5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EF08A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97316"/>
      <rgbColor rgb="FF666699"/>
      <rgbColor rgb="FF969696"/>
      <rgbColor rgb="FF1B3A6B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1" width="14"/>
    <col collapsed="false" customWidth="true" hidden="false" outlineLevel="0" max="11" min="9" style="1" width="16"/>
    <col collapsed="false" customWidth="true" hidden="false" outlineLevel="0" max="12" min="12" style="1" width="10"/>
    <col collapsed="false" customWidth="true" hidden="false" outlineLevel="0" max="13" min="13" style="1" width="20"/>
    <col collapsed="false" customWidth="true" hidden="false" outlineLevel="0" max="14" min="14" style="1" width="18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4" t="s">
        <v>2</v>
      </c>
      <c r="B4" s="5"/>
      <c r="C4" s="5"/>
      <c r="D4" s="4" t="s">
        <v>3</v>
      </c>
      <c r="E4" s="5"/>
      <c r="F4" s="5"/>
      <c r="G4" s="4" t="s">
        <v>4</v>
      </c>
      <c r="H4" s="5"/>
      <c r="I4" s="5"/>
      <c r="J4" s="5"/>
      <c r="K4" s="5"/>
      <c r="L4" s="5"/>
      <c r="M4" s="5"/>
      <c r="N4" s="5"/>
    </row>
    <row r="5" customFormat="false" ht="21.75" hidden="false" customHeight="true" outlineLevel="0" collapsed="false">
      <c r="A5" s="4" t="s">
        <v>5</v>
      </c>
      <c r="B5" s="5"/>
      <c r="C5" s="5"/>
      <c r="D5" s="4" t="s">
        <v>6</v>
      </c>
      <c r="E5" s="5"/>
      <c r="F5" s="5"/>
      <c r="G5" s="4" t="s">
        <v>7</v>
      </c>
      <c r="H5" s="5"/>
      <c r="I5" s="5"/>
      <c r="J5" s="5"/>
      <c r="K5" s="5"/>
      <c r="L5" s="5"/>
      <c r="M5" s="5"/>
      <c r="N5" s="5"/>
    </row>
    <row r="6" customFormat="false" ht="21.75" hidden="false" customHeight="true" outlineLevel="0" collapsed="false">
      <c r="A6" s="4" t="s">
        <v>8</v>
      </c>
      <c r="B6" s="5"/>
      <c r="C6" s="5"/>
      <c r="D6" s="4" t="s">
        <v>9</v>
      </c>
      <c r="E6" s="5"/>
      <c r="F6" s="5"/>
      <c r="G6" s="4" t="s">
        <v>10</v>
      </c>
      <c r="H6" s="5"/>
      <c r="I6" s="5"/>
      <c r="J6" s="5"/>
      <c r="K6" s="5"/>
      <c r="L6" s="5"/>
      <c r="M6" s="5"/>
      <c r="N6" s="5"/>
    </row>
    <row r="8" customFormat="false" ht="27.75" hidden="false" customHeight="true" outlineLevel="0" collapsed="false">
      <c r="A8" s="6" t="s">
        <v>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39.75" hidden="false" customHeight="true" outlineLevel="0" collapsed="false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22</v>
      </c>
      <c r="L9" s="7" t="s">
        <v>23</v>
      </c>
      <c r="M9" s="7" t="s">
        <v>24</v>
      </c>
      <c r="N9" s="7" t="s">
        <v>25</v>
      </c>
    </row>
    <row r="10" customFormat="false" ht="19.5" hidden="false" customHeight="true" outlineLevel="0" collapsed="false">
      <c r="A10" s="8" t="s">
        <v>26</v>
      </c>
      <c r="B10" s="9" t="s">
        <v>27</v>
      </c>
      <c r="C10" s="9" t="s">
        <v>28</v>
      </c>
      <c r="D10" s="9" t="s">
        <v>29</v>
      </c>
      <c r="E10" s="8" t="s">
        <v>30</v>
      </c>
      <c r="F10" s="10" t="s">
        <v>31</v>
      </c>
      <c r="G10" s="10" t="s">
        <v>32</v>
      </c>
      <c r="H10" s="10" t="n">
        <f aca="false">F10*(1+G10)</f>
        <v>210</v>
      </c>
      <c r="I10" s="11" t="str">
        <f aca="false">TEXT(G10,"0%")</f>
        <v>5%</v>
      </c>
      <c r="J10" s="11" t="s">
        <v>33</v>
      </c>
      <c r="K10" s="11" t="n">
        <f aca="false">F10*I10</f>
        <v>10</v>
      </c>
      <c r="L10" s="8" t="n">
        <f aca="false">H10*I10</f>
        <v>10.5</v>
      </c>
      <c r="M10" s="9" t="s">
        <v>34</v>
      </c>
      <c r="N10" s="9" t="s">
        <v>35</v>
      </c>
      <c r="O10" s="9"/>
    </row>
    <row r="11" customFormat="false" ht="19.5" hidden="false" customHeight="true" outlineLevel="0" collapsed="false">
      <c r="A11" s="8" t="s">
        <v>36</v>
      </c>
      <c r="B11" s="9" t="s">
        <v>27</v>
      </c>
      <c r="C11" s="9" t="s">
        <v>37</v>
      </c>
      <c r="D11" s="9" t="s">
        <v>38</v>
      </c>
      <c r="E11" s="8" t="s">
        <v>39</v>
      </c>
      <c r="F11" s="10" t="s">
        <v>40</v>
      </c>
      <c r="G11" s="10" t="s">
        <v>32</v>
      </c>
      <c r="H11" s="10" t="n">
        <f aca="false">F11*(1+G11)</f>
        <v>52.5</v>
      </c>
      <c r="I11" s="11"/>
      <c r="J11" s="11" t="s">
        <v>41</v>
      </c>
      <c r="K11" s="11" t="n">
        <f aca="false">F11*I11</f>
        <v>0</v>
      </c>
      <c r="L11" s="8" t="n">
        <f aca="false">H11*I11</f>
        <v>0</v>
      </c>
      <c r="M11" s="9" t="s">
        <v>34</v>
      </c>
      <c r="N11" s="9"/>
      <c r="O11" s="9"/>
    </row>
    <row r="12" customFormat="false" ht="19.5" hidden="false" customHeight="true" outlineLevel="0" collapsed="false">
      <c r="A12" s="8" t="s">
        <v>42</v>
      </c>
      <c r="B12" s="9" t="s">
        <v>27</v>
      </c>
      <c r="C12" s="9" t="s">
        <v>43</v>
      </c>
      <c r="D12" s="9" t="s">
        <v>44</v>
      </c>
      <c r="E12" s="8" t="s">
        <v>39</v>
      </c>
      <c r="F12" s="10" t="s">
        <v>45</v>
      </c>
      <c r="G12" s="10" t="s">
        <v>32</v>
      </c>
      <c r="H12" s="10" t="n">
        <f aca="false">F12*(1+G12)</f>
        <v>42</v>
      </c>
      <c r="I12" s="11"/>
      <c r="J12" s="11" t="s">
        <v>46</v>
      </c>
      <c r="K12" s="11" t="n">
        <f aca="false">F12*I12</f>
        <v>0</v>
      </c>
      <c r="L12" s="8" t="n">
        <f aca="false">H12*I12</f>
        <v>0</v>
      </c>
      <c r="M12" s="9" t="s">
        <v>34</v>
      </c>
      <c r="N12" s="9"/>
      <c r="O12" s="9"/>
    </row>
    <row r="13" customFormat="false" ht="19.5" hidden="false" customHeight="true" outlineLevel="0" collapsed="false">
      <c r="A13" s="8" t="s">
        <v>47</v>
      </c>
      <c r="B13" s="9" t="s">
        <v>48</v>
      </c>
      <c r="C13" s="9" t="s">
        <v>49</v>
      </c>
      <c r="D13" s="9" t="s">
        <v>50</v>
      </c>
      <c r="E13" s="8" t="s">
        <v>51</v>
      </c>
      <c r="F13" s="10" t="s">
        <v>52</v>
      </c>
      <c r="G13" s="10" t="s">
        <v>53</v>
      </c>
      <c r="H13" s="10" t="n">
        <f aca="false">F13*(1+G13)</f>
        <v>330</v>
      </c>
      <c r="I13" s="11"/>
      <c r="J13" s="11" t="s">
        <v>54</v>
      </c>
      <c r="K13" s="11" t="n">
        <f aca="false">F13*I13</f>
        <v>0</v>
      </c>
      <c r="L13" s="8" t="n">
        <f aca="false">H13*I13</f>
        <v>0</v>
      </c>
      <c r="M13" s="9" t="s">
        <v>55</v>
      </c>
      <c r="N13" s="9"/>
      <c r="O13" s="9"/>
    </row>
    <row r="14" customFormat="false" ht="19.5" hidden="false" customHeight="true" outlineLevel="0" collapsed="false">
      <c r="A14" s="8" t="s">
        <v>56</v>
      </c>
      <c r="B14" s="9" t="s">
        <v>48</v>
      </c>
      <c r="C14" s="9" t="s">
        <v>57</v>
      </c>
      <c r="D14" s="9" t="s">
        <v>58</v>
      </c>
      <c r="E14" s="8" t="s">
        <v>51</v>
      </c>
      <c r="F14" s="10" t="s">
        <v>59</v>
      </c>
      <c r="G14" s="10" t="s">
        <v>53</v>
      </c>
      <c r="H14" s="10" t="n">
        <f aca="false">F14*(1+G14)</f>
        <v>165</v>
      </c>
      <c r="I14" s="11"/>
      <c r="J14" s="11" t="s">
        <v>60</v>
      </c>
      <c r="K14" s="11" t="n">
        <f aca="false">F14*I14</f>
        <v>0</v>
      </c>
      <c r="L14" s="8" t="n">
        <f aca="false">H14*I14</f>
        <v>0</v>
      </c>
      <c r="M14" s="9" t="s">
        <v>55</v>
      </c>
      <c r="N14" s="9"/>
      <c r="O14" s="9"/>
    </row>
    <row r="15" customFormat="false" ht="19.5" hidden="false" customHeight="true" outlineLevel="0" collapsed="false">
      <c r="A15" s="8" t="s">
        <v>61</v>
      </c>
      <c r="B15" s="9" t="s">
        <v>62</v>
      </c>
      <c r="C15" s="9" t="s">
        <v>63</v>
      </c>
      <c r="D15" s="9" t="s">
        <v>64</v>
      </c>
      <c r="E15" s="8" t="s">
        <v>65</v>
      </c>
      <c r="F15" s="10" t="s">
        <v>66</v>
      </c>
      <c r="G15" s="10" t="s">
        <v>67</v>
      </c>
      <c r="H15" s="10" t="n">
        <f aca="false">F15*(1+G15)</f>
        <v>540</v>
      </c>
      <c r="I15" s="11"/>
      <c r="J15" s="11" t="s">
        <v>68</v>
      </c>
      <c r="K15" s="11" t="n">
        <f aca="false">F15*I15</f>
        <v>0</v>
      </c>
      <c r="L15" s="8" t="n">
        <f aca="false">H15*I15</f>
        <v>0</v>
      </c>
      <c r="M15" s="9" t="s">
        <v>55</v>
      </c>
      <c r="N15" s="9"/>
      <c r="O15" s="9"/>
    </row>
    <row r="16" customFormat="false" ht="19.5" hidden="false" customHeight="true" outlineLevel="0" collapsed="false">
      <c r="A16" s="8" t="s">
        <v>69</v>
      </c>
      <c r="B16" s="9" t="s">
        <v>70</v>
      </c>
      <c r="C16" s="9" t="s">
        <v>71</v>
      </c>
      <c r="D16" s="9" t="s">
        <v>72</v>
      </c>
      <c r="E16" s="8" t="s">
        <v>73</v>
      </c>
      <c r="F16" s="10"/>
      <c r="G16" s="10" t="s">
        <v>32</v>
      </c>
      <c r="H16" s="10" t="n">
        <f aca="false">F16*(1+G16)</f>
        <v>0</v>
      </c>
      <c r="I16" s="11"/>
      <c r="J16" s="11"/>
      <c r="K16" s="11" t="n">
        <f aca="false">F16*I16</f>
        <v>0</v>
      </c>
      <c r="L16" s="8" t="n">
        <f aca="false">H16*I16</f>
        <v>0</v>
      </c>
      <c r="M16" s="9" t="s">
        <v>74</v>
      </c>
      <c r="N16" s="9"/>
      <c r="O16" s="9"/>
    </row>
    <row r="17" customFormat="false" ht="19.5" hidden="false" customHeight="true" outlineLevel="0" collapsed="false">
      <c r="A17" s="8" t="s">
        <v>75</v>
      </c>
      <c r="B17" s="9" t="s">
        <v>76</v>
      </c>
      <c r="C17" s="9" t="s">
        <v>77</v>
      </c>
      <c r="D17" s="9" t="s">
        <v>78</v>
      </c>
      <c r="E17" s="8" t="s">
        <v>79</v>
      </c>
      <c r="F17" s="10"/>
      <c r="G17" s="10" t="s">
        <v>32</v>
      </c>
      <c r="H17" s="10" t="n">
        <f aca="false">F17*(1+G17)</f>
        <v>0</v>
      </c>
      <c r="I17" s="11"/>
      <c r="J17" s="11"/>
      <c r="K17" s="11" t="n">
        <f aca="false">F17*I17</f>
        <v>0</v>
      </c>
      <c r="L17" s="8" t="n">
        <f aca="false">H17*I17</f>
        <v>0</v>
      </c>
      <c r="M17" s="9" t="s">
        <v>74</v>
      </c>
      <c r="N17" s="9"/>
      <c r="O17" s="9"/>
    </row>
    <row r="18" customFormat="false" ht="19.5" hidden="false" customHeight="true" outlineLevel="0" collapsed="false">
      <c r="A18" s="8"/>
      <c r="B18" s="9"/>
      <c r="C18" s="9"/>
      <c r="D18" s="9"/>
      <c r="E18" s="8"/>
      <c r="F18" s="10"/>
      <c r="G18" s="10"/>
      <c r="H18" s="10"/>
      <c r="I18" s="11"/>
      <c r="J18" s="11"/>
      <c r="K18" s="11"/>
      <c r="L18" s="8"/>
      <c r="M18" s="9"/>
      <c r="N18" s="9"/>
    </row>
    <row r="19" customFormat="false" ht="19.5" hidden="false" customHeight="true" outlineLevel="0" collapsed="false">
      <c r="A19" s="8"/>
      <c r="B19" s="9"/>
      <c r="C19" s="9"/>
      <c r="D19" s="9"/>
      <c r="E19" s="8"/>
      <c r="F19" s="10"/>
      <c r="G19" s="10"/>
      <c r="H19" s="10"/>
      <c r="I19" s="11"/>
      <c r="J19" s="11"/>
      <c r="K19" s="11"/>
      <c r="L19" s="8"/>
      <c r="M19" s="9"/>
      <c r="N19" s="9"/>
    </row>
    <row r="20" customFormat="false" ht="24.75" hidden="false" customHeight="true" outlineLevel="0" collapsed="false">
      <c r="A20" s="12" t="s">
        <v>80</v>
      </c>
      <c r="B20" s="12"/>
      <c r="C20" s="12"/>
      <c r="D20" s="12"/>
      <c r="E20" s="12"/>
      <c r="F20" s="12"/>
      <c r="G20" s="12"/>
      <c r="H20" s="12"/>
      <c r="I20" s="12"/>
      <c r="J20" s="13" t="n">
        <f aca="false">SUM(J10:J19)</f>
        <v>0</v>
      </c>
      <c r="K20" s="13" t="n">
        <f aca="false">SUM(K10:K19)</f>
        <v>10</v>
      </c>
      <c r="L20" s="14"/>
      <c r="M20" s="14"/>
      <c r="N20" s="14"/>
    </row>
    <row r="22" customFormat="false" ht="27.75" hidden="false" customHeight="true" outlineLevel="0" collapsed="false">
      <c r="A22" s="6" t="s">
        <v>81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39.75" hidden="false" customHeight="true" outlineLevel="0" collapsed="false">
      <c r="A23" s="7" t="s">
        <v>12</v>
      </c>
      <c r="B23" s="7" t="s">
        <v>82</v>
      </c>
      <c r="C23" s="7" t="s">
        <v>83</v>
      </c>
      <c r="D23" s="7" t="s">
        <v>16</v>
      </c>
      <c r="E23" s="7" t="s">
        <v>84</v>
      </c>
      <c r="F23" s="7" t="s">
        <v>85</v>
      </c>
      <c r="G23" s="7" t="s">
        <v>86</v>
      </c>
      <c r="H23" s="7" t="s">
        <v>87</v>
      </c>
      <c r="I23" s="7" t="s">
        <v>88</v>
      </c>
      <c r="J23" s="7" t="s">
        <v>89</v>
      </c>
      <c r="K23" s="7" t="s">
        <v>90</v>
      </c>
      <c r="L23" s="7" t="s">
        <v>91</v>
      </c>
      <c r="M23" s="7" t="s">
        <v>92</v>
      </c>
      <c r="N23" s="7" t="s">
        <v>25</v>
      </c>
    </row>
    <row r="24" customFormat="false" ht="19.5" hidden="false" customHeight="true" outlineLevel="0" collapsed="false">
      <c r="A24" s="8" t="s">
        <v>26</v>
      </c>
      <c r="B24" s="9" t="s">
        <v>93</v>
      </c>
      <c r="C24" s="9" t="s">
        <v>94</v>
      </c>
      <c r="D24" s="8" t="s">
        <v>39</v>
      </c>
      <c r="E24" s="9"/>
      <c r="F24" s="9" t="n">
        <v>120</v>
      </c>
      <c r="G24" s="11" t="n">
        <f aca="false">IF(E24&lt;&gt;"",E24*F24,0)</f>
        <v>0</v>
      </c>
      <c r="H24" s="8"/>
      <c r="I24" s="8"/>
      <c r="J24" s="8" t="s">
        <v>34</v>
      </c>
      <c r="K24" s="9"/>
      <c r="L24" s="9"/>
      <c r="M24" s="9"/>
      <c r="N24" s="9"/>
    </row>
    <row r="25" customFormat="false" ht="19.5" hidden="false" customHeight="true" outlineLevel="0" collapsed="false">
      <c r="A25" s="8" t="s">
        <v>36</v>
      </c>
      <c r="B25" s="9" t="s">
        <v>93</v>
      </c>
      <c r="C25" s="9" t="s">
        <v>95</v>
      </c>
      <c r="D25" s="8" t="s">
        <v>39</v>
      </c>
      <c r="E25" s="9"/>
      <c r="F25" s="9" t="n">
        <v>1500</v>
      </c>
      <c r="G25" s="11" t="n">
        <f aca="false">IF(E25&lt;&gt;"",E25*F25,0)</f>
        <v>0</v>
      </c>
      <c r="H25" s="8"/>
      <c r="I25" s="8"/>
      <c r="J25" s="8" t="s">
        <v>34</v>
      </c>
      <c r="K25" s="9"/>
      <c r="L25" s="9"/>
      <c r="M25" s="9"/>
      <c r="N25" s="9"/>
    </row>
    <row r="26" customFormat="false" ht="19.5" hidden="false" customHeight="true" outlineLevel="0" collapsed="false">
      <c r="A26" s="8" t="s">
        <v>42</v>
      </c>
      <c r="B26" s="9" t="s">
        <v>93</v>
      </c>
      <c r="C26" s="9" t="s">
        <v>96</v>
      </c>
      <c r="D26" s="8" t="s">
        <v>97</v>
      </c>
      <c r="E26" s="9"/>
      <c r="F26" s="9" t="n">
        <v>35</v>
      </c>
      <c r="G26" s="11" t="n">
        <f aca="false">IF(E26&lt;&gt;"",E26*F26,0)</f>
        <v>0</v>
      </c>
      <c r="H26" s="8"/>
      <c r="I26" s="8"/>
      <c r="J26" s="8" t="s">
        <v>55</v>
      </c>
      <c r="K26" s="9"/>
      <c r="L26" s="9"/>
      <c r="M26" s="9"/>
      <c r="N26" s="9"/>
    </row>
    <row r="27" customFormat="false" ht="19.5" hidden="false" customHeight="true" outlineLevel="0" collapsed="false">
      <c r="A27" s="8" t="s">
        <v>47</v>
      </c>
      <c r="B27" s="9" t="s">
        <v>98</v>
      </c>
      <c r="C27" s="9" t="s">
        <v>99</v>
      </c>
      <c r="D27" s="8" t="s">
        <v>73</v>
      </c>
      <c r="E27" s="9"/>
      <c r="F27" s="9" t="n">
        <v>280</v>
      </c>
      <c r="G27" s="11" t="n">
        <f aca="false">IF(E27&lt;&gt;"",E27*F27,0)</f>
        <v>0</v>
      </c>
      <c r="H27" s="8"/>
      <c r="I27" s="8"/>
      <c r="J27" s="8" t="s">
        <v>100</v>
      </c>
      <c r="K27" s="9"/>
      <c r="L27" s="9"/>
      <c r="M27" s="9"/>
      <c r="N27" s="9"/>
    </row>
    <row r="28" customFormat="false" ht="19.5" hidden="false" customHeight="true" outlineLevel="0" collapsed="false">
      <c r="A28" s="8" t="s">
        <v>56</v>
      </c>
      <c r="B28" s="9" t="s">
        <v>98</v>
      </c>
      <c r="C28" s="9" t="s">
        <v>101</v>
      </c>
      <c r="D28" s="8" t="s">
        <v>73</v>
      </c>
      <c r="E28" s="9"/>
      <c r="F28" s="9" t="n">
        <v>120</v>
      </c>
      <c r="G28" s="11" t="n">
        <f aca="false">IF(E28&lt;&gt;"",E28*F28,0)</f>
        <v>0</v>
      </c>
      <c r="H28" s="8"/>
      <c r="I28" s="8"/>
      <c r="J28" s="8" t="s">
        <v>74</v>
      </c>
      <c r="K28" s="9"/>
      <c r="L28" s="9"/>
      <c r="M28" s="9"/>
      <c r="N28" s="9"/>
    </row>
    <row r="29" customFormat="false" ht="19.5" hidden="false" customHeight="true" outlineLevel="0" collapsed="false">
      <c r="A29" s="8" t="s">
        <v>61</v>
      </c>
      <c r="B29" s="9" t="s">
        <v>102</v>
      </c>
      <c r="C29" s="9" t="s">
        <v>103</v>
      </c>
      <c r="D29" s="8" t="s">
        <v>104</v>
      </c>
      <c r="E29" s="9"/>
      <c r="F29" s="9" t="n">
        <v>800</v>
      </c>
      <c r="G29" s="11" t="n">
        <f aca="false">IF(E29&lt;&gt;"",E29*F29,0)</f>
        <v>0</v>
      </c>
      <c r="H29" s="8"/>
      <c r="I29" s="8"/>
      <c r="J29" s="8" t="s">
        <v>105</v>
      </c>
      <c r="K29" s="9"/>
      <c r="L29" s="9"/>
      <c r="M29" s="9"/>
      <c r="N29" s="9"/>
    </row>
    <row r="30" customFormat="false" ht="19.5" hidden="false" customHeight="true" outlineLevel="0" collapsed="false">
      <c r="A30" s="8" t="s">
        <v>69</v>
      </c>
      <c r="B30" s="9" t="s">
        <v>102</v>
      </c>
      <c r="C30" s="9" t="s">
        <v>106</v>
      </c>
      <c r="D30" s="8" t="s">
        <v>104</v>
      </c>
      <c r="E30" s="9"/>
      <c r="F30" s="9" t="n">
        <v>1200</v>
      </c>
      <c r="G30" s="11" t="n">
        <f aca="false">IF(E30&lt;&gt;"",E30*F30,0)</f>
        <v>0</v>
      </c>
      <c r="H30" s="8"/>
      <c r="I30" s="8"/>
      <c r="J30" s="8" t="s">
        <v>105</v>
      </c>
      <c r="K30" s="9"/>
      <c r="L30" s="9"/>
      <c r="M30" s="9"/>
      <c r="N30" s="9"/>
    </row>
    <row r="31" customFormat="false" ht="19.5" hidden="false" customHeight="true" outlineLevel="0" collapsed="false">
      <c r="A31" s="8" t="s">
        <v>75</v>
      </c>
      <c r="B31" s="9" t="s">
        <v>107</v>
      </c>
      <c r="C31" s="9" t="s">
        <v>108</v>
      </c>
      <c r="D31" s="8" t="s">
        <v>73</v>
      </c>
      <c r="E31" s="9"/>
      <c r="F31" s="9" t="n">
        <v>350</v>
      </c>
      <c r="G31" s="11" t="n">
        <f aca="false">IF(E31&lt;&gt;"",E31*F31,0)</f>
        <v>0</v>
      </c>
      <c r="H31" s="8"/>
      <c r="I31" s="8"/>
      <c r="J31" s="8" t="s">
        <v>74</v>
      </c>
      <c r="K31" s="9"/>
      <c r="L31" s="9"/>
      <c r="M31" s="9"/>
      <c r="N31" s="9"/>
    </row>
    <row r="32" customFormat="false" ht="19.5" hidden="false" customHeight="true" outlineLevel="0" collapsed="false">
      <c r="A32" s="8"/>
      <c r="B32" s="9"/>
      <c r="C32" s="9"/>
      <c r="D32" s="8"/>
      <c r="E32" s="9"/>
      <c r="F32" s="9"/>
      <c r="G32" s="11"/>
      <c r="H32" s="8"/>
      <c r="I32" s="8"/>
      <c r="J32" s="8"/>
      <c r="K32" s="9"/>
      <c r="L32" s="9"/>
      <c r="M32" s="9"/>
      <c r="N32" s="9"/>
    </row>
    <row r="33" customFormat="false" ht="19.5" hidden="false" customHeight="true" outlineLevel="0" collapsed="false">
      <c r="A33" s="8"/>
      <c r="B33" s="9"/>
      <c r="C33" s="9"/>
      <c r="D33" s="8"/>
      <c r="E33" s="9"/>
      <c r="F33" s="9"/>
      <c r="G33" s="11"/>
      <c r="H33" s="8"/>
      <c r="I33" s="8"/>
      <c r="J33" s="8"/>
      <c r="K33" s="9"/>
      <c r="L33" s="9"/>
      <c r="M33" s="9"/>
      <c r="N33" s="9"/>
    </row>
    <row r="34" customFormat="false" ht="24.75" hidden="false" customHeight="true" outlineLevel="0" collapsed="false">
      <c r="A34" s="15" t="s">
        <v>109</v>
      </c>
      <c r="B34" s="15"/>
      <c r="C34" s="15"/>
      <c r="D34" s="15"/>
      <c r="E34" s="15"/>
      <c r="F34" s="15"/>
      <c r="G34" s="16" t="n">
        <f aca="false">SUM(G24:G33)</f>
        <v>0</v>
      </c>
      <c r="H34" s="17"/>
      <c r="I34" s="17"/>
      <c r="J34" s="17"/>
      <c r="K34" s="17"/>
      <c r="L34" s="17"/>
      <c r="M34" s="17"/>
      <c r="N34" s="17"/>
    </row>
    <row r="35" customFormat="false" ht="30" hidden="false" customHeight="true" outlineLevel="0" collapsed="false">
      <c r="A35" s="18" t="s">
        <v>110</v>
      </c>
      <c r="B35" s="18"/>
      <c r="C35" s="18"/>
      <c r="D35" s="18"/>
      <c r="E35" s="18"/>
      <c r="F35" s="18"/>
      <c r="G35" s="18"/>
      <c r="H35" s="18"/>
      <c r="I35" s="18"/>
      <c r="J35" s="18"/>
      <c r="K35" s="19" t="n">
        <f aca="false">K20+G34</f>
        <v>10</v>
      </c>
      <c r="L35" s="20"/>
      <c r="M35" s="20"/>
      <c r="N35" s="20"/>
    </row>
  </sheetData>
  <mergeCells count="16">
    <mergeCell ref="A1:N1"/>
    <mergeCell ref="A2:N2"/>
    <mergeCell ref="B4:C4"/>
    <mergeCell ref="E4:F4"/>
    <mergeCell ref="H4:N4"/>
    <mergeCell ref="B5:C5"/>
    <mergeCell ref="E5:F5"/>
    <mergeCell ref="H5:N5"/>
    <mergeCell ref="B6:C6"/>
    <mergeCell ref="E6:F6"/>
    <mergeCell ref="H6:N6"/>
    <mergeCell ref="A8:N8"/>
    <mergeCell ref="A20:I20"/>
    <mergeCell ref="A22:N22"/>
    <mergeCell ref="A34:F34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4"/>
    <col collapsed="false" customWidth="true" hidden="false" outlineLevel="0" max="9" min="9" style="1" width="10"/>
    <col collapsed="false" customWidth="true" hidden="false" outlineLevel="0" max="11" min="10" style="1" width="14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5" min="14" style="1" width="12"/>
    <col collapsed="false" customWidth="true" hidden="false" outlineLevel="0" max="16" min="16" style="1" width="16"/>
  </cols>
  <sheetData>
    <row r="1" customFormat="false" ht="34.5" hidden="false" customHeight="true" outlineLevel="0" collapsed="false">
      <c r="A1" s="2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1.75" hidden="false" customHeight="true" outlineLevel="0" collapsed="false">
      <c r="A2" s="21" t="s">
        <v>112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4" customFormat="false" ht="21.75" hidden="false" customHeight="true" outlineLevel="0" collapsed="false">
      <c r="A4" s="22" t="s">
        <v>2</v>
      </c>
      <c r="B4" s="23"/>
      <c r="C4" s="23"/>
      <c r="D4" s="23"/>
      <c r="E4" s="22" t="s">
        <v>3</v>
      </c>
      <c r="F4" s="23"/>
      <c r="G4" s="23"/>
      <c r="H4" s="23"/>
      <c r="I4" s="22" t="s">
        <v>113</v>
      </c>
      <c r="J4" s="23"/>
      <c r="K4" s="23"/>
      <c r="L4" s="23"/>
      <c r="M4" s="22" t="s">
        <v>114</v>
      </c>
      <c r="N4" s="23"/>
      <c r="O4" s="23"/>
      <c r="P4" s="23"/>
    </row>
    <row r="6" customFormat="false" ht="45" hidden="false" customHeight="true" outlineLevel="0" collapsed="false">
      <c r="A6" s="7" t="s">
        <v>89</v>
      </c>
      <c r="B6" s="7" t="s">
        <v>115</v>
      </c>
      <c r="C6" s="7" t="s">
        <v>116</v>
      </c>
      <c r="D6" s="7" t="s">
        <v>117</v>
      </c>
      <c r="E6" s="7" t="s">
        <v>118</v>
      </c>
      <c r="F6" s="7" t="s">
        <v>119</v>
      </c>
      <c r="G6" s="7" t="s">
        <v>120</v>
      </c>
      <c r="H6" s="7" t="s">
        <v>121</v>
      </c>
      <c r="I6" s="7" t="s">
        <v>122</v>
      </c>
      <c r="J6" s="7" t="s">
        <v>123</v>
      </c>
      <c r="K6" s="7" t="s">
        <v>124</v>
      </c>
      <c r="L6" s="7" t="s">
        <v>125</v>
      </c>
      <c r="M6" s="7" t="s">
        <v>126</v>
      </c>
      <c r="N6" s="7" t="s">
        <v>127</v>
      </c>
      <c r="O6" s="7" t="s">
        <v>128</v>
      </c>
      <c r="P6" s="7" t="s">
        <v>25</v>
      </c>
    </row>
    <row r="7" customFormat="false" ht="51.75" hidden="false" customHeight="true" outlineLevel="0" collapsed="false">
      <c r="A7" s="24" t="s">
        <v>26</v>
      </c>
      <c r="B7" s="25" t="s">
        <v>129</v>
      </c>
      <c r="C7" s="25" t="s">
        <v>130</v>
      </c>
      <c r="D7" s="25" t="s">
        <v>131</v>
      </c>
      <c r="E7" s="24" t="s">
        <v>132</v>
      </c>
      <c r="F7" s="24" t="s">
        <v>133</v>
      </c>
      <c r="G7" s="25"/>
      <c r="H7" s="25"/>
      <c r="I7" s="24" t="n">
        <f aca="false">H7-G7</f>
        <v>0</v>
      </c>
      <c r="J7" s="25"/>
      <c r="K7" s="25"/>
      <c r="L7" s="24" t="n">
        <f aca="false">K7-J7</f>
        <v>0</v>
      </c>
      <c r="M7" s="25"/>
      <c r="N7" s="26"/>
      <c r="O7" s="25" t="s">
        <v>134</v>
      </c>
      <c r="P7" s="25"/>
    </row>
    <row r="8" customFormat="false" ht="19.5" hidden="false" customHeight="true" outlineLevel="0" collapsed="false">
      <c r="A8" s="24"/>
      <c r="B8" s="25"/>
      <c r="C8" s="25" t="s">
        <v>135</v>
      </c>
      <c r="D8" s="25"/>
      <c r="E8" s="24"/>
      <c r="F8" s="24"/>
      <c r="G8" s="25"/>
      <c r="H8" s="25"/>
      <c r="I8" s="24"/>
      <c r="J8" s="25"/>
      <c r="K8" s="25"/>
      <c r="L8" s="24"/>
      <c r="M8" s="25"/>
      <c r="N8" s="26"/>
      <c r="O8" s="25"/>
      <c r="P8" s="25"/>
    </row>
    <row r="9" customFormat="false" ht="19.5" hidden="false" customHeight="true" outlineLevel="0" collapsed="false">
      <c r="A9" s="24" t="s">
        <v>36</v>
      </c>
      <c r="B9" s="25" t="s">
        <v>136</v>
      </c>
      <c r="C9" s="25" t="s">
        <v>137</v>
      </c>
      <c r="D9" s="25" t="s">
        <v>138</v>
      </c>
      <c r="E9" s="24" t="s">
        <v>132</v>
      </c>
      <c r="F9" s="24" t="s">
        <v>133</v>
      </c>
      <c r="G9" s="25"/>
      <c r="H9" s="25"/>
      <c r="I9" s="24" t="n">
        <f aca="false">H10-G10</f>
        <v>0</v>
      </c>
      <c r="J9" s="25"/>
      <c r="K9" s="25"/>
      <c r="L9" s="24" t="n">
        <f aca="false">K10-J10</f>
        <v>0</v>
      </c>
      <c r="M9" s="25"/>
      <c r="N9" s="26"/>
      <c r="O9" s="25" t="s">
        <v>134</v>
      </c>
      <c r="P9" s="25"/>
    </row>
    <row r="10" customFormat="false" ht="51.75" hidden="false" customHeight="true" outlineLevel="0" collapsed="false">
      <c r="A10" s="24"/>
      <c r="B10" s="25"/>
      <c r="C10" s="25" t="s">
        <v>139</v>
      </c>
      <c r="D10" s="25"/>
      <c r="E10" s="24"/>
      <c r="F10" s="24"/>
      <c r="G10" s="25"/>
      <c r="H10" s="25"/>
      <c r="I10" s="24"/>
      <c r="J10" s="25"/>
      <c r="K10" s="25"/>
      <c r="L10" s="24"/>
      <c r="M10" s="25"/>
      <c r="N10" s="26"/>
      <c r="O10" s="25"/>
      <c r="P10" s="25"/>
    </row>
    <row r="11" customFormat="false" ht="19.5" hidden="false" customHeight="true" outlineLevel="0" collapsed="false">
      <c r="A11" s="24" t="s">
        <v>42</v>
      </c>
      <c r="B11" s="25" t="s">
        <v>140</v>
      </c>
      <c r="C11" s="25" t="s">
        <v>141</v>
      </c>
      <c r="D11" s="25" t="s">
        <v>142</v>
      </c>
      <c r="E11" s="24" t="s">
        <v>132</v>
      </c>
      <c r="F11" s="24" t="s">
        <v>143</v>
      </c>
      <c r="G11" s="25"/>
      <c r="H11" s="25"/>
      <c r="I11" s="24" t="n">
        <f aca="false">H13-G13</f>
        <v>0</v>
      </c>
      <c r="J11" s="25"/>
      <c r="K11" s="25"/>
      <c r="L11" s="24" t="n">
        <f aca="false">K13-J13</f>
        <v>0</v>
      </c>
      <c r="M11" s="25"/>
      <c r="N11" s="26"/>
      <c r="O11" s="25" t="s">
        <v>134</v>
      </c>
      <c r="P11" s="25"/>
    </row>
    <row r="12" customFormat="false" ht="19.5" hidden="false" customHeight="true" outlineLevel="0" collapsed="false">
      <c r="A12" s="24"/>
      <c r="B12" s="25"/>
      <c r="C12" s="25" t="s">
        <v>144</v>
      </c>
      <c r="D12" s="25"/>
      <c r="E12" s="24"/>
      <c r="F12" s="24"/>
      <c r="G12" s="25"/>
      <c r="H12" s="25"/>
      <c r="I12" s="24"/>
      <c r="J12" s="25"/>
      <c r="K12" s="25"/>
      <c r="L12" s="24"/>
      <c r="M12" s="25"/>
      <c r="N12" s="26"/>
      <c r="O12" s="25"/>
      <c r="P12" s="25"/>
    </row>
    <row r="13" customFormat="false" ht="51.75" hidden="false" customHeight="true" outlineLevel="0" collapsed="false">
      <c r="A13" s="24" t="s">
        <v>47</v>
      </c>
      <c r="B13" s="25" t="s">
        <v>145</v>
      </c>
      <c r="C13" s="25" t="s">
        <v>146</v>
      </c>
      <c r="D13" s="25" t="s">
        <v>147</v>
      </c>
      <c r="E13" s="24" t="s">
        <v>132</v>
      </c>
      <c r="F13" s="24" t="s">
        <v>148</v>
      </c>
      <c r="G13" s="25"/>
      <c r="H13" s="25"/>
      <c r="I13" s="24" t="n">
        <f aca="false">H16-G16</f>
        <v>0</v>
      </c>
      <c r="J13" s="25"/>
      <c r="K13" s="25"/>
      <c r="L13" s="24" t="n">
        <f aca="false">K16-J16</f>
        <v>0</v>
      </c>
      <c r="M13" s="25"/>
      <c r="N13" s="26"/>
      <c r="O13" s="25" t="s">
        <v>134</v>
      </c>
      <c r="P13" s="25"/>
    </row>
    <row r="14" customFormat="false" ht="19.5" hidden="false" customHeight="true" outlineLevel="0" collapsed="false">
      <c r="A14" s="24"/>
      <c r="B14" s="25"/>
      <c r="C14" s="25"/>
      <c r="D14" s="25"/>
      <c r="E14" s="24"/>
      <c r="F14" s="24"/>
      <c r="G14" s="25"/>
      <c r="H14" s="25"/>
      <c r="I14" s="24"/>
      <c r="J14" s="25"/>
      <c r="K14" s="25"/>
      <c r="L14" s="24"/>
      <c r="M14" s="25"/>
      <c r="N14" s="26"/>
      <c r="O14" s="25"/>
      <c r="P14" s="25"/>
    </row>
    <row r="25" customFormat="false" ht="15" hidden="false" customHeight="true" outlineLevel="0" collapsed="false">
      <c r="A25" s="27" t="s">
        <v>149</v>
      </c>
      <c r="B25" s="27"/>
      <c r="C25" s="27"/>
      <c r="D25" s="27"/>
      <c r="E25" s="27"/>
      <c r="F25" s="28" t="n">
        <f aca="false">SUM(F7:F22)</f>
        <v>0</v>
      </c>
    </row>
  </sheetData>
  <mergeCells count="7">
    <mergeCell ref="A1:P1"/>
    <mergeCell ref="A2:P2"/>
    <mergeCell ref="B4:D4"/>
    <mergeCell ref="F4:H4"/>
    <mergeCell ref="J4:L4"/>
    <mergeCell ref="N4:P4"/>
    <mergeCell ref="A25:E25"/>
  </mergeCells>
  <dataValidations count="1">
    <dataValidation allowBlank="true" errorStyle="stop" operator="between" showDropDown="false" showErrorMessage="false" showInputMessage="false" sqref="O7:O14" type="list">
      <formula1>"🟢 กำลังดำเนินการ,✅ เสร็จแล้ว,🟡 รอเริ่ม,🔴 ล่าช้า,⏸ หยุดชั่วคราว"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7" min="5" style="1" width="16"/>
    <col collapsed="false" customWidth="true" hidden="false" outlineLevel="0" max="9" min="8" style="1" width="14"/>
    <col collapsed="false" customWidth="true" hidden="false" outlineLevel="0" max="11" min="10" style="1" width="16"/>
    <col collapsed="false" customWidth="true" hidden="false" outlineLevel="0" max="12" min="12" style="1" width="14"/>
    <col collapsed="false" customWidth="true" hidden="false" outlineLevel="0" max="13" min="13" style="1" width="18"/>
  </cols>
  <sheetData>
    <row r="1" customFormat="false" ht="34.5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.75" hidden="false" customHeight="true" outlineLevel="0" collapsed="false">
      <c r="A2" s="21" t="s">
        <v>151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customFormat="false" ht="15" hidden="false" customHeight="true" outlineLevel="0" collapsed="false">
      <c r="A4" s="22" t="s">
        <v>2</v>
      </c>
      <c r="B4" s="23"/>
      <c r="C4" s="23"/>
      <c r="D4" s="23"/>
      <c r="E4" s="22" t="s">
        <v>3</v>
      </c>
      <c r="F4" s="23"/>
      <c r="G4" s="23"/>
      <c r="H4" s="23"/>
      <c r="I4" s="22" t="s">
        <v>152</v>
      </c>
      <c r="J4" s="23"/>
      <c r="K4" s="23"/>
      <c r="L4" s="23"/>
      <c r="M4" s="23"/>
    </row>
    <row r="6" customFormat="false" ht="39.75" hidden="false" customHeight="true" outlineLevel="0" collapsed="false">
      <c r="A6" s="7" t="s">
        <v>12</v>
      </c>
      <c r="B6" s="7" t="s">
        <v>89</v>
      </c>
      <c r="C6" s="7" t="s">
        <v>153</v>
      </c>
      <c r="D6" s="7" t="s">
        <v>16</v>
      </c>
      <c r="E6" s="7" t="s">
        <v>154</v>
      </c>
      <c r="F6" s="7" t="s">
        <v>155</v>
      </c>
      <c r="G6" s="7" t="s">
        <v>156</v>
      </c>
      <c r="H6" s="7" t="s">
        <v>157</v>
      </c>
      <c r="I6" s="7" t="s">
        <v>158</v>
      </c>
      <c r="J6" s="7" t="s">
        <v>159</v>
      </c>
      <c r="K6" s="7" t="s">
        <v>160</v>
      </c>
      <c r="L6" s="7" t="s">
        <v>161</v>
      </c>
      <c r="M6" s="7" t="s">
        <v>25</v>
      </c>
    </row>
    <row r="7" customFormat="false" ht="19.5" hidden="false" customHeight="true" outlineLevel="0" collapsed="false">
      <c r="A7" s="8" t="s">
        <v>26</v>
      </c>
      <c r="B7" s="8" t="s">
        <v>34</v>
      </c>
      <c r="C7" s="9" t="s">
        <v>162</v>
      </c>
      <c r="D7" s="8" t="s">
        <v>79</v>
      </c>
      <c r="E7" s="9" t="s">
        <v>163</v>
      </c>
      <c r="F7" s="29"/>
      <c r="G7" s="9" t="n">
        <f aca="false">E7-F7</f>
        <v>250000</v>
      </c>
      <c r="H7" s="30" t="n">
        <f aca="false">IF(E7&gt;0,F7/E7,0)</f>
        <v>0</v>
      </c>
      <c r="I7" s="9"/>
      <c r="J7" s="9"/>
      <c r="K7" s="9"/>
      <c r="L7" s="8"/>
      <c r="M7" s="9"/>
    </row>
    <row r="8" customFormat="false" ht="19.5" hidden="false" customHeight="true" outlineLevel="0" collapsed="false">
      <c r="A8" s="8" t="s">
        <v>36</v>
      </c>
      <c r="B8" s="8" t="s">
        <v>34</v>
      </c>
      <c r="C8" s="9" t="s">
        <v>164</v>
      </c>
      <c r="D8" s="8" t="s">
        <v>79</v>
      </c>
      <c r="E8" s="9" t="s">
        <v>165</v>
      </c>
      <c r="F8" s="29"/>
      <c r="G8" s="9" t="n">
        <f aca="false">E8-F8</f>
        <v>180000</v>
      </c>
      <c r="H8" s="31" t="n">
        <f aca="false">IF(E8&gt;0,F8/E8,0)</f>
        <v>0</v>
      </c>
      <c r="I8" s="9"/>
      <c r="J8" s="9"/>
      <c r="K8" s="9"/>
      <c r="L8" s="8"/>
      <c r="M8" s="9"/>
    </row>
    <row r="9" customFormat="false" ht="19.5" hidden="false" customHeight="true" outlineLevel="0" collapsed="false">
      <c r="A9" s="8" t="s">
        <v>42</v>
      </c>
      <c r="B9" s="8" t="s">
        <v>34</v>
      </c>
      <c r="C9" s="9" t="s">
        <v>166</v>
      </c>
      <c r="D9" s="8" t="s">
        <v>167</v>
      </c>
      <c r="E9" s="9" t="s">
        <v>168</v>
      </c>
      <c r="F9" s="29"/>
      <c r="G9" s="9" t="n">
        <f aca="false">E9-F9</f>
        <v>120000</v>
      </c>
      <c r="H9" s="30" t="n">
        <f aca="false">IF(E9&gt;0,F9/E9,0)</f>
        <v>0</v>
      </c>
      <c r="I9" s="9"/>
      <c r="J9" s="9"/>
      <c r="K9" s="9"/>
      <c r="L9" s="8"/>
      <c r="M9" s="9"/>
    </row>
    <row r="10" customFormat="false" ht="19.5" hidden="false" customHeight="true" outlineLevel="0" collapsed="false">
      <c r="A10" s="8" t="s">
        <v>47</v>
      </c>
      <c r="B10" s="8" t="s">
        <v>100</v>
      </c>
      <c r="C10" s="9" t="s">
        <v>169</v>
      </c>
      <c r="D10" s="8" t="s">
        <v>79</v>
      </c>
      <c r="E10" s="9" t="s">
        <v>170</v>
      </c>
      <c r="F10" s="29"/>
      <c r="G10" s="9" t="n">
        <f aca="false">E10-F10</f>
        <v>350000</v>
      </c>
      <c r="H10" s="31" t="n">
        <f aca="false">IF(E10&gt;0,F10/E10,0)</f>
        <v>0</v>
      </c>
      <c r="I10" s="9"/>
      <c r="J10" s="9"/>
      <c r="K10" s="9"/>
      <c r="L10" s="8"/>
      <c r="M10" s="9"/>
    </row>
    <row r="11" customFormat="false" ht="19.5" hidden="false" customHeight="true" outlineLevel="0" collapsed="false">
      <c r="A11" s="8" t="s">
        <v>56</v>
      </c>
      <c r="B11" s="8" t="s">
        <v>100</v>
      </c>
      <c r="C11" s="9" t="s">
        <v>171</v>
      </c>
      <c r="D11" s="8" t="s">
        <v>167</v>
      </c>
      <c r="E11" s="9" t="s">
        <v>172</v>
      </c>
      <c r="F11" s="29"/>
      <c r="G11" s="9" t="n">
        <f aca="false">E11-F11</f>
        <v>200000</v>
      </c>
      <c r="H11" s="30" t="n">
        <f aca="false">IF(E11&gt;0,F11/E11,0)</f>
        <v>0</v>
      </c>
      <c r="I11" s="9"/>
      <c r="J11" s="9"/>
      <c r="K11" s="9"/>
      <c r="L11" s="8"/>
      <c r="M11" s="9"/>
    </row>
    <row r="12" customFormat="false" ht="19.5" hidden="false" customHeight="true" outlineLevel="0" collapsed="false">
      <c r="A12" s="8" t="s">
        <v>61</v>
      </c>
      <c r="B12" s="8" t="s">
        <v>74</v>
      </c>
      <c r="C12" s="9" t="s">
        <v>173</v>
      </c>
      <c r="D12" s="8" t="s">
        <v>79</v>
      </c>
      <c r="E12" s="9" t="s">
        <v>174</v>
      </c>
      <c r="F12" s="29"/>
      <c r="G12" s="9" t="n">
        <f aca="false">E12-F12</f>
        <v>280000</v>
      </c>
      <c r="H12" s="31" t="n">
        <f aca="false">IF(E12&gt;0,F12/E12,0)</f>
        <v>0</v>
      </c>
      <c r="I12" s="9"/>
      <c r="J12" s="9"/>
      <c r="K12" s="9"/>
      <c r="L12" s="8"/>
      <c r="M12" s="9"/>
    </row>
    <row r="13" customFormat="false" ht="19.5" hidden="false" customHeight="true" outlineLevel="0" collapsed="false">
      <c r="A13" s="8" t="s">
        <v>69</v>
      </c>
      <c r="B13" s="8" t="s">
        <v>74</v>
      </c>
      <c r="C13" s="9" t="s">
        <v>175</v>
      </c>
      <c r="D13" s="8" t="s">
        <v>167</v>
      </c>
      <c r="E13" s="9" t="s">
        <v>176</v>
      </c>
      <c r="F13" s="29"/>
      <c r="G13" s="9" t="n">
        <f aca="false">E13-F13</f>
        <v>150000</v>
      </c>
      <c r="H13" s="30" t="n">
        <f aca="false">IF(E13&gt;0,F13/E13,0)</f>
        <v>0</v>
      </c>
      <c r="I13" s="9"/>
      <c r="J13" s="9"/>
      <c r="K13" s="9"/>
      <c r="L13" s="8"/>
      <c r="M13" s="9"/>
    </row>
    <row r="14" customFormat="false" ht="19.5" hidden="false" customHeight="true" outlineLevel="0" collapsed="false">
      <c r="A14" s="8" t="s">
        <v>75</v>
      </c>
      <c r="B14" s="8" t="s">
        <v>177</v>
      </c>
      <c r="C14" s="9" t="s">
        <v>178</v>
      </c>
      <c r="D14" s="8" t="s">
        <v>79</v>
      </c>
      <c r="E14" s="9" t="s">
        <v>179</v>
      </c>
      <c r="F14" s="29"/>
      <c r="G14" s="9" t="n">
        <f aca="false">E14-F14</f>
        <v>80000</v>
      </c>
      <c r="H14" s="31" t="n">
        <f aca="false">IF(E14&gt;0,F14/E14,0)</f>
        <v>0</v>
      </c>
      <c r="I14" s="9"/>
      <c r="J14" s="9"/>
      <c r="K14" s="9"/>
      <c r="L14" s="8"/>
      <c r="M14" s="9"/>
    </row>
    <row r="15" customFormat="false" ht="19.5" hidden="false" customHeight="true" outlineLevel="0" collapsed="false">
      <c r="A15" s="8" t="s">
        <v>180</v>
      </c>
      <c r="B15" s="8" t="s">
        <v>177</v>
      </c>
      <c r="C15" s="9" t="s">
        <v>181</v>
      </c>
      <c r="D15" s="8" t="s">
        <v>167</v>
      </c>
      <c r="E15" s="9" t="s">
        <v>182</v>
      </c>
      <c r="F15" s="29"/>
      <c r="G15" s="9" t="n">
        <f aca="false">E15-F15</f>
        <v>50000</v>
      </c>
      <c r="H15" s="30" t="n">
        <f aca="false">IF(E15&gt;0,F15/E15,0)</f>
        <v>0</v>
      </c>
      <c r="I15" s="9"/>
      <c r="J15" s="9"/>
      <c r="K15" s="9"/>
      <c r="L15" s="8"/>
      <c r="M15" s="9"/>
    </row>
    <row r="16" customFormat="false" ht="19.5" hidden="false" customHeight="true" outlineLevel="0" collapsed="false">
      <c r="A16" s="8"/>
      <c r="B16" s="8"/>
      <c r="C16" s="9"/>
      <c r="D16" s="8"/>
      <c r="E16" s="9"/>
      <c r="F16" s="29"/>
      <c r="G16" s="9"/>
      <c r="H16" s="31"/>
      <c r="I16" s="9"/>
      <c r="J16" s="9"/>
      <c r="K16" s="9"/>
      <c r="L16" s="8"/>
      <c r="M16" s="9"/>
    </row>
    <row r="17" customFormat="false" ht="27.75" hidden="false" customHeight="true" outlineLevel="0" collapsed="false">
      <c r="A17" s="27" t="s">
        <v>183</v>
      </c>
      <c r="B17" s="27"/>
      <c r="C17" s="27"/>
      <c r="D17" s="27"/>
      <c r="E17" s="32" t="n">
        <f aca="false">SUM(E7:E16)</f>
        <v>0</v>
      </c>
      <c r="F17" s="32" t="n">
        <f aca="false">SUM(F7:F16)</f>
        <v>0</v>
      </c>
      <c r="G17" s="32" t="n">
        <f aca="false">SUM(G7:G16)</f>
        <v>1660000</v>
      </c>
      <c r="H17" s="28" t="n">
        <f aca="false">IF(E17&gt;0,F17/E17,0)</f>
        <v>0</v>
      </c>
      <c r="I17" s="20"/>
      <c r="J17" s="20"/>
      <c r="K17" s="20"/>
      <c r="L17" s="20"/>
      <c r="M17" s="20"/>
    </row>
  </sheetData>
  <mergeCells count="6">
    <mergeCell ref="A1:M1"/>
    <mergeCell ref="A2:M2"/>
    <mergeCell ref="B4:D4"/>
    <mergeCell ref="F4:H4"/>
    <mergeCell ref="J4:M4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6" min="5" style="1" width="16"/>
    <col collapsed="false" customWidth="true" hidden="false" outlineLevel="0" max="8" min="7" style="1" width="14"/>
    <col collapsed="false" customWidth="true" hidden="false" outlineLevel="0" max="10" min="9" style="1" width="16"/>
  </cols>
  <sheetData>
    <row r="1" customFormat="false" ht="34.5" hidden="false" customHeight="true" outlineLevel="0" collapsed="false">
      <c r="A1" s="2" t="s">
        <v>184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39.75" hidden="false" customHeight="true" outlineLevel="0" collapsed="false">
      <c r="A3" s="7" t="s">
        <v>12</v>
      </c>
      <c r="B3" s="7" t="s">
        <v>185</v>
      </c>
      <c r="C3" s="7" t="s">
        <v>186</v>
      </c>
      <c r="D3" s="7" t="s">
        <v>187</v>
      </c>
      <c r="E3" s="7" t="s">
        <v>188</v>
      </c>
      <c r="F3" s="7" t="s">
        <v>189</v>
      </c>
      <c r="G3" s="7" t="s">
        <v>190</v>
      </c>
      <c r="H3" s="7" t="s">
        <v>191</v>
      </c>
      <c r="I3" s="7" t="s">
        <v>192</v>
      </c>
      <c r="J3" s="7" t="s">
        <v>25</v>
      </c>
    </row>
    <row r="4" customFormat="false" ht="21.75" hidden="false" customHeight="true" outlineLevel="0" collapsed="false">
      <c r="A4" s="33" t="s">
        <v>26</v>
      </c>
      <c r="B4" s="34" t="s">
        <v>193</v>
      </c>
      <c r="C4" s="34" t="s">
        <v>194</v>
      </c>
      <c r="D4" s="34" t="s">
        <v>195</v>
      </c>
      <c r="E4" s="34"/>
      <c r="F4" s="34"/>
      <c r="G4" s="33" t="s">
        <v>196</v>
      </c>
      <c r="H4" s="33"/>
      <c r="I4" s="34" t="s">
        <v>197</v>
      </c>
      <c r="J4" s="34"/>
    </row>
    <row r="5" customFormat="false" ht="21.75" hidden="false" customHeight="true" outlineLevel="0" collapsed="false">
      <c r="A5" s="33" t="s">
        <v>36</v>
      </c>
      <c r="B5" s="34" t="s">
        <v>198</v>
      </c>
      <c r="C5" s="34" t="s">
        <v>199</v>
      </c>
      <c r="D5" s="34" t="s">
        <v>200</v>
      </c>
      <c r="E5" s="34"/>
      <c r="F5" s="34"/>
      <c r="G5" s="33" t="s">
        <v>201</v>
      </c>
      <c r="H5" s="33"/>
      <c r="I5" s="34" t="s">
        <v>193</v>
      </c>
      <c r="J5" s="34"/>
    </row>
    <row r="6" customFormat="false" ht="21.75" hidden="false" customHeight="true" outlineLevel="0" collapsed="false">
      <c r="A6" s="33" t="s">
        <v>42</v>
      </c>
      <c r="B6" s="34"/>
      <c r="C6" s="34" t="s">
        <v>202</v>
      </c>
      <c r="D6" s="34"/>
      <c r="E6" s="34"/>
      <c r="F6" s="34"/>
      <c r="G6" s="33" t="s">
        <v>203</v>
      </c>
      <c r="H6" s="33"/>
      <c r="I6" s="34" t="s">
        <v>197</v>
      </c>
      <c r="J6" s="34"/>
    </row>
    <row r="7" customFormat="false" ht="21.75" hidden="false" customHeight="true" outlineLevel="0" collapsed="false">
      <c r="A7" s="33" t="s">
        <v>47</v>
      </c>
      <c r="B7" s="34"/>
      <c r="C7" s="34" t="s">
        <v>204</v>
      </c>
      <c r="D7" s="34"/>
      <c r="E7" s="34"/>
      <c r="F7" s="34"/>
      <c r="G7" s="33" t="s">
        <v>205</v>
      </c>
      <c r="H7" s="33"/>
      <c r="I7" s="34"/>
      <c r="J7" s="34"/>
    </row>
    <row r="8" customFormat="false" ht="21.75" hidden="false" customHeight="true" outlineLevel="0" collapsed="false">
      <c r="A8" s="33" t="s">
        <v>56</v>
      </c>
      <c r="B8" s="34"/>
      <c r="C8" s="34" t="s">
        <v>204</v>
      </c>
      <c r="D8" s="34"/>
      <c r="E8" s="34"/>
      <c r="F8" s="34"/>
      <c r="G8" s="33" t="s">
        <v>205</v>
      </c>
      <c r="H8" s="33"/>
      <c r="I8" s="34"/>
      <c r="J8" s="34"/>
    </row>
    <row r="9" customFormat="false" ht="21.75" hidden="false" customHeight="true" outlineLevel="0" collapsed="false">
      <c r="A9" s="33" t="s">
        <v>61</v>
      </c>
      <c r="B9" s="34"/>
      <c r="C9" s="34" t="s">
        <v>206</v>
      </c>
      <c r="D9" s="34"/>
      <c r="E9" s="34"/>
      <c r="F9" s="34"/>
      <c r="G9" s="33" t="s">
        <v>205</v>
      </c>
      <c r="H9" s="33"/>
      <c r="I9" s="34"/>
      <c r="J9" s="34"/>
    </row>
    <row r="10" customFormat="false" ht="21.75" hidden="false" customHeight="true" outlineLevel="0" collapsed="false">
      <c r="A10" s="33" t="s">
        <v>69</v>
      </c>
      <c r="B10" s="34"/>
      <c r="C10" s="34" t="s">
        <v>206</v>
      </c>
      <c r="D10" s="34"/>
      <c r="E10" s="34"/>
      <c r="F10" s="34"/>
      <c r="G10" s="33" t="s">
        <v>205</v>
      </c>
      <c r="H10" s="33"/>
      <c r="I10" s="34"/>
      <c r="J10" s="34"/>
    </row>
    <row r="11" customFormat="false" ht="21.75" hidden="false" customHeight="true" outlineLevel="0" collapsed="false">
      <c r="A11" s="33"/>
      <c r="B11" s="34"/>
      <c r="C11" s="34"/>
      <c r="D11" s="34"/>
      <c r="E11" s="34"/>
      <c r="F11" s="34"/>
      <c r="G11" s="33"/>
      <c r="H11" s="33"/>
      <c r="I11" s="34"/>
      <c r="J11" s="34"/>
    </row>
    <row r="12" customFormat="false" ht="21.75" hidden="false" customHeight="true" outlineLevel="0" collapsed="false">
      <c r="A12" s="33"/>
      <c r="B12" s="34"/>
      <c r="C12" s="34"/>
      <c r="D12" s="34"/>
      <c r="E12" s="34"/>
      <c r="F12" s="34"/>
      <c r="G12" s="33"/>
      <c r="H12" s="33"/>
      <c r="I12" s="34"/>
      <c r="J12" s="34"/>
    </row>
    <row r="13" customFormat="false" ht="21.75" hidden="false" customHeight="true" outlineLevel="0" collapsed="false">
      <c r="A13" s="33"/>
      <c r="B13" s="34"/>
      <c r="C13" s="34"/>
      <c r="D13" s="34"/>
      <c r="E13" s="34"/>
      <c r="F13" s="34"/>
      <c r="G13" s="33"/>
      <c r="H13" s="33"/>
      <c r="I13" s="34"/>
      <c r="J13" s="34"/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C4:C13" type="list">
      <formula1>"Site Manager,วิศวกรควบคุมงาน,โฟร์แมน,ช่างฝีมือ,พลขับ,แรงงานทั่วไป"</formula1>
      <formula2>0</formula2>
    </dataValidation>
    <dataValidation allowBlank="true" errorStyle="stop" operator="between" showDropDown="false" showErrorMessage="false" showInputMessage="false" sqref="G4:G13" type="list">
      <formula1>"Admin (เจ้าของ),Manager (ผู้จัดการ),Engineer (วิศวกร),Foreman (โฟร์แมน),Worker (พนักงานหน้างาน)"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9" min="3" style="1" width="16"/>
    <col collapsed="false" customWidth="true" hidden="false" outlineLevel="0" max="10" min="10" style="1" width="24"/>
  </cols>
  <sheetData>
    <row r="1" customFormat="false" ht="39.75" hidden="false" customHeight="true" outlineLevel="0" collapsed="false">
      <c r="A1" s="2" t="s">
        <v>207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5" t="s">
        <v>208</v>
      </c>
      <c r="B2" s="35"/>
      <c r="C2" s="35"/>
      <c r="D2" s="35"/>
      <c r="E2" s="35"/>
      <c r="F2" s="35"/>
      <c r="G2" s="35"/>
      <c r="H2" s="35"/>
      <c r="I2" s="35"/>
      <c r="J2" s="35"/>
    </row>
    <row r="4" customFormat="false" ht="24.75" hidden="false" customHeight="true" outlineLevel="0" collapsed="false">
      <c r="A4" s="36" t="s">
        <v>209</v>
      </c>
      <c r="B4" s="36"/>
      <c r="C4" s="37" t="s">
        <v>210</v>
      </c>
      <c r="D4" s="37"/>
      <c r="E4" s="37"/>
      <c r="F4" s="37"/>
      <c r="G4" s="37"/>
      <c r="H4" s="37"/>
      <c r="I4" s="37"/>
      <c r="J4" s="37"/>
    </row>
    <row r="5" customFormat="false" ht="21.75" hidden="false" customHeight="true" outlineLevel="0" collapsed="false">
      <c r="A5" s="12" t="s">
        <v>211</v>
      </c>
      <c r="B5" s="12"/>
      <c r="C5" s="38" t="s">
        <v>212</v>
      </c>
      <c r="D5" s="38"/>
      <c r="E5" s="38"/>
      <c r="F5" s="38"/>
      <c r="G5" s="38"/>
      <c r="H5" s="38"/>
      <c r="I5" s="38"/>
      <c r="J5" s="38"/>
    </row>
    <row r="6" customFormat="false" ht="21.75" hidden="false" customHeight="true" outlineLevel="0" collapsed="false">
      <c r="A6" s="12" t="s">
        <v>213</v>
      </c>
      <c r="B6" s="12"/>
      <c r="C6" s="38" t="s">
        <v>214</v>
      </c>
      <c r="D6" s="38"/>
      <c r="E6" s="38"/>
      <c r="F6" s="38"/>
      <c r="G6" s="38"/>
      <c r="H6" s="38"/>
      <c r="I6" s="38"/>
      <c r="J6" s="38"/>
    </row>
    <row r="7" customFormat="false" ht="21.75" hidden="false" customHeight="true" outlineLevel="0" collapsed="false">
      <c r="A7" s="12" t="s">
        <v>215</v>
      </c>
      <c r="B7" s="12"/>
      <c r="C7" s="38" t="s">
        <v>216</v>
      </c>
      <c r="D7" s="38"/>
      <c r="E7" s="38"/>
      <c r="F7" s="38"/>
      <c r="G7" s="38"/>
      <c r="H7" s="38"/>
      <c r="I7" s="38"/>
      <c r="J7" s="38"/>
    </row>
    <row r="8" customFormat="false" ht="21.75" hidden="false" customHeight="true" outlineLevel="0" collapsed="false">
      <c r="A8" s="12" t="s">
        <v>217</v>
      </c>
      <c r="B8" s="12"/>
      <c r="C8" s="38" t="s">
        <v>218</v>
      </c>
      <c r="D8" s="38"/>
      <c r="E8" s="38"/>
      <c r="F8" s="38"/>
      <c r="G8" s="38"/>
      <c r="H8" s="38"/>
      <c r="I8" s="38"/>
      <c r="J8" s="38"/>
    </row>
    <row r="9" customFormat="false" ht="21.75" hidden="false" customHeight="true" outlineLevel="0" collapsed="false">
      <c r="A9" s="12" t="s">
        <v>219</v>
      </c>
      <c r="B9" s="12"/>
      <c r="C9" s="38" t="s">
        <v>220</v>
      </c>
      <c r="D9" s="38"/>
      <c r="E9" s="38"/>
      <c r="F9" s="38"/>
      <c r="G9" s="38"/>
      <c r="H9" s="38"/>
      <c r="I9" s="38"/>
      <c r="J9" s="38"/>
    </row>
    <row r="11" customFormat="false" ht="27.75" hidden="false" customHeight="true" outlineLevel="0" collapsed="false">
      <c r="A11" s="39" t="s">
        <v>221</v>
      </c>
      <c r="B11" s="39"/>
      <c r="C11" s="39"/>
      <c r="D11" s="39"/>
      <c r="E11" s="39"/>
      <c r="F11" s="39"/>
      <c r="G11" s="39"/>
      <c r="H11" s="39"/>
      <c r="I11" s="39"/>
      <c r="J11" s="39"/>
    </row>
    <row r="12" customFormat="false" ht="34.5" hidden="false" customHeight="true" outlineLevel="0" collapsed="false">
      <c r="A12" s="7" t="s">
        <v>222</v>
      </c>
      <c r="B12" s="7" t="s">
        <v>185</v>
      </c>
      <c r="C12" s="7" t="s">
        <v>223</v>
      </c>
      <c r="D12" s="7" t="s">
        <v>224</v>
      </c>
      <c r="E12" s="7" t="s">
        <v>225</v>
      </c>
      <c r="F12" s="7" t="s">
        <v>226</v>
      </c>
      <c r="G12" s="7" t="s">
        <v>227</v>
      </c>
      <c r="H12" s="7" t="s">
        <v>228</v>
      </c>
      <c r="I12" s="7" t="s">
        <v>25</v>
      </c>
      <c r="J12" s="7" t="s">
        <v>128</v>
      </c>
    </row>
    <row r="13" customFormat="false" ht="19.5" hidden="false" customHeight="true" outlineLevel="0" collapsed="false">
      <c r="A13" s="9" t="s">
        <v>229</v>
      </c>
      <c r="B13" s="9" t="s">
        <v>230</v>
      </c>
      <c r="C13" s="8" t="s">
        <v>231</v>
      </c>
      <c r="D13" s="8" t="s">
        <v>232</v>
      </c>
      <c r="E13" s="40" t="n">
        <f aca="false">TIMEVALUE(D13)-TIMEVALUE(C13)</f>
        <v>0.395833333333333</v>
      </c>
      <c r="F13" s="9" t="s">
        <v>233</v>
      </c>
      <c r="G13" s="9" t="s">
        <v>234</v>
      </c>
      <c r="H13" s="8" t="s">
        <v>235</v>
      </c>
      <c r="I13" s="9"/>
      <c r="J13" s="9" t="s">
        <v>236</v>
      </c>
    </row>
    <row r="14" customFormat="false" ht="19.5" hidden="false" customHeight="true" outlineLevel="0" collapsed="false">
      <c r="A14" s="9" t="s">
        <v>204</v>
      </c>
      <c r="B14" s="9"/>
      <c r="C14" s="8" t="s">
        <v>231</v>
      </c>
      <c r="D14" s="8" t="s">
        <v>232</v>
      </c>
      <c r="E14" s="40" t="n">
        <f aca="false">TIMEVALUE(D14)-TIMEVALUE(C14)</f>
        <v>0.395833333333333</v>
      </c>
      <c r="F14" s="9" t="s">
        <v>96</v>
      </c>
      <c r="G14" s="9" t="s">
        <v>234</v>
      </c>
      <c r="H14" s="8" t="s">
        <v>235</v>
      </c>
      <c r="I14" s="9"/>
      <c r="J14" s="9" t="s">
        <v>236</v>
      </c>
    </row>
    <row r="15" customFormat="false" ht="19.5" hidden="false" customHeight="true" outlineLevel="0" collapsed="false">
      <c r="A15" s="9" t="s">
        <v>204</v>
      </c>
      <c r="B15" s="9"/>
      <c r="C15" s="8" t="s">
        <v>231</v>
      </c>
      <c r="D15" s="8" t="s">
        <v>232</v>
      </c>
      <c r="E15" s="40" t="n">
        <f aca="false">TIMEVALUE(D15)-TIMEVALUE(C15)</f>
        <v>0.395833333333333</v>
      </c>
      <c r="F15" s="9" t="s">
        <v>237</v>
      </c>
      <c r="G15" s="9" t="s">
        <v>238</v>
      </c>
      <c r="H15" s="8" t="s">
        <v>235</v>
      </c>
      <c r="I15" s="9"/>
      <c r="J15" s="9" t="s">
        <v>236</v>
      </c>
    </row>
    <row r="16" customFormat="false" ht="19.5" hidden="false" customHeight="true" outlineLevel="0" collapsed="false">
      <c r="A16" s="9" t="s">
        <v>239</v>
      </c>
      <c r="B16" s="9"/>
      <c r="C16" s="8" t="s">
        <v>231</v>
      </c>
      <c r="D16" s="8" t="s">
        <v>232</v>
      </c>
      <c r="E16" s="40" t="n">
        <f aca="false">TIMEVALUE(D16)-TIMEVALUE(C16)</f>
        <v>0.395833333333333</v>
      </c>
      <c r="F16" s="9" t="s">
        <v>240</v>
      </c>
      <c r="G16" s="9" t="s">
        <v>241</v>
      </c>
      <c r="H16" s="8" t="s">
        <v>235</v>
      </c>
      <c r="I16" s="9"/>
      <c r="J16" s="9" t="s">
        <v>236</v>
      </c>
    </row>
    <row r="17" customFormat="false" ht="19.5" hidden="false" customHeight="true" outlineLevel="0" collapsed="false">
      <c r="A17" s="9" t="s">
        <v>239</v>
      </c>
      <c r="B17" s="9"/>
      <c r="C17" s="8" t="s">
        <v>231</v>
      </c>
      <c r="D17" s="8" t="s">
        <v>232</v>
      </c>
      <c r="E17" s="40" t="n">
        <f aca="false">TIMEVALUE(D17)-TIMEVALUE(C17)</f>
        <v>0.395833333333333</v>
      </c>
      <c r="F17" s="9" t="s">
        <v>240</v>
      </c>
      <c r="G17" s="9" t="s">
        <v>241</v>
      </c>
      <c r="H17" s="8" t="s">
        <v>235</v>
      </c>
      <c r="I17" s="9" t="s">
        <v>242</v>
      </c>
      <c r="J17" s="9" t="s">
        <v>243</v>
      </c>
    </row>
    <row r="19" customFormat="false" ht="27.75" hidden="false" customHeight="true" outlineLevel="0" collapsed="false">
      <c r="A19" s="3" t="s">
        <v>244</v>
      </c>
      <c r="B19" s="3"/>
      <c r="C19" s="3"/>
      <c r="D19" s="3"/>
      <c r="E19" s="3"/>
      <c r="F19" s="3"/>
      <c r="G19" s="3"/>
      <c r="H19" s="3"/>
      <c r="I19" s="3"/>
      <c r="J19" s="3"/>
    </row>
    <row r="20" customFormat="false" ht="34.5" hidden="false" customHeight="true" outlineLevel="0" collapsed="false">
      <c r="A20" s="7" t="s">
        <v>245</v>
      </c>
      <c r="B20" s="7" t="s">
        <v>246</v>
      </c>
      <c r="C20" s="7" t="s">
        <v>247</v>
      </c>
      <c r="D20" s="7" t="s">
        <v>248</v>
      </c>
      <c r="E20" s="7" t="s">
        <v>249</v>
      </c>
      <c r="F20" s="7" t="s">
        <v>250</v>
      </c>
      <c r="G20" s="7" t="s">
        <v>251</v>
      </c>
      <c r="H20" s="7" t="s">
        <v>252</v>
      </c>
      <c r="I20" s="7" t="s">
        <v>253</v>
      </c>
      <c r="J20" s="7" t="s">
        <v>254</v>
      </c>
    </row>
    <row r="21" customFormat="false" ht="24.75" hidden="false" customHeight="true" outlineLevel="0" collapsed="false">
      <c r="A21" s="34" t="s">
        <v>255</v>
      </c>
      <c r="B21" s="34" t="s">
        <v>256</v>
      </c>
      <c r="C21" s="33" t="s">
        <v>257</v>
      </c>
      <c r="D21" s="33" t="s">
        <v>32</v>
      </c>
      <c r="E21" s="33" t="s">
        <v>148</v>
      </c>
      <c r="F21" s="34" t="s">
        <v>258</v>
      </c>
      <c r="G21" s="34" t="s">
        <v>259</v>
      </c>
      <c r="H21" s="34" t="s">
        <v>260</v>
      </c>
      <c r="I21" s="34" t="s">
        <v>261</v>
      </c>
      <c r="J21" s="34" t="s">
        <v>262</v>
      </c>
    </row>
    <row r="22" customFormat="false" ht="24.75" hidden="false" customHeight="true" outlineLevel="0" collapsed="false">
      <c r="A22" s="34" t="s">
        <v>263</v>
      </c>
      <c r="B22" s="34" t="s">
        <v>264</v>
      </c>
      <c r="C22" s="33" t="s">
        <v>53</v>
      </c>
      <c r="D22" s="33" t="s">
        <v>265</v>
      </c>
      <c r="E22" s="33" t="s">
        <v>266</v>
      </c>
      <c r="F22" s="34" t="s">
        <v>267</v>
      </c>
      <c r="G22" s="34" t="s">
        <v>267</v>
      </c>
      <c r="H22" s="34" t="s">
        <v>268</v>
      </c>
      <c r="I22" s="34" t="s">
        <v>269</v>
      </c>
      <c r="J22" s="34" t="s">
        <v>262</v>
      </c>
    </row>
    <row r="23" customFormat="false" ht="24.75" hidden="false" customHeight="true" outlineLevel="0" collapsed="false">
      <c r="A23" s="34" t="s">
        <v>270</v>
      </c>
      <c r="B23" s="34" t="s">
        <v>271</v>
      </c>
      <c r="C23" s="33"/>
      <c r="D23" s="33"/>
      <c r="E23" s="33"/>
      <c r="F23" s="34"/>
      <c r="G23" s="34"/>
      <c r="H23" s="34" t="s">
        <v>272</v>
      </c>
      <c r="I23" s="34" t="s">
        <v>273</v>
      </c>
      <c r="J23" s="34" t="s">
        <v>262</v>
      </c>
    </row>
    <row r="25" customFormat="false" ht="27.75" hidden="false" customHeight="true" outlineLevel="0" collapsed="false">
      <c r="A25" s="3" t="s">
        <v>274</v>
      </c>
      <c r="B25" s="3"/>
      <c r="C25" s="3"/>
      <c r="D25" s="3"/>
      <c r="E25" s="3"/>
      <c r="F25" s="3"/>
      <c r="G25" s="3"/>
      <c r="H25" s="3"/>
      <c r="I25" s="3"/>
      <c r="J25" s="3"/>
    </row>
    <row r="26" customFormat="false" ht="21.75" hidden="false" customHeight="true" outlineLevel="0" collapsed="false">
      <c r="A26" s="41" t="s">
        <v>275</v>
      </c>
      <c r="B26" s="42" t="s">
        <v>276</v>
      </c>
      <c r="C26" s="43" t="s">
        <v>277</v>
      </c>
      <c r="D26" s="43"/>
      <c r="E26" s="43"/>
      <c r="F26" s="43"/>
      <c r="G26" s="44" t="s">
        <v>278</v>
      </c>
      <c r="H26" s="44"/>
      <c r="I26" s="44"/>
      <c r="J26" s="45" t="s">
        <v>279</v>
      </c>
    </row>
    <row r="27" customFormat="false" ht="21.75" hidden="false" customHeight="true" outlineLevel="0" collapsed="false">
      <c r="A27" s="41"/>
      <c r="B27" s="42" t="s">
        <v>280</v>
      </c>
      <c r="C27" s="43" t="s">
        <v>277</v>
      </c>
      <c r="D27" s="43"/>
      <c r="E27" s="43"/>
      <c r="F27" s="43"/>
      <c r="G27" s="44" t="s">
        <v>281</v>
      </c>
      <c r="H27" s="44"/>
      <c r="I27" s="44"/>
      <c r="J27" s="45" t="s">
        <v>282</v>
      </c>
    </row>
    <row r="28" customFormat="false" ht="21.75" hidden="false" customHeight="true" outlineLevel="0" collapsed="false">
      <c r="A28" s="41"/>
      <c r="B28" s="42" t="s">
        <v>283</v>
      </c>
      <c r="C28" s="43" t="s">
        <v>277</v>
      </c>
      <c r="D28" s="43"/>
      <c r="E28" s="43"/>
      <c r="F28" s="43"/>
      <c r="G28" s="44" t="s">
        <v>284</v>
      </c>
      <c r="H28" s="44"/>
      <c r="I28" s="44"/>
      <c r="J28" s="45" t="s">
        <v>285</v>
      </c>
    </row>
    <row r="29" customFormat="false" ht="21.75" hidden="false" customHeight="true" outlineLevel="0" collapsed="false">
      <c r="A29" s="41"/>
      <c r="B29" s="42" t="s">
        <v>286</v>
      </c>
      <c r="C29" s="43" t="s">
        <v>277</v>
      </c>
      <c r="D29" s="43"/>
      <c r="E29" s="43"/>
      <c r="F29" s="43"/>
      <c r="G29" s="44" t="s">
        <v>287</v>
      </c>
      <c r="H29" s="44"/>
      <c r="I29" s="44"/>
      <c r="J29" s="45" t="s">
        <v>288</v>
      </c>
    </row>
    <row r="31" customFormat="false" ht="27.75" hidden="false" customHeight="true" outlineLevel="0" collapsed="false">
      <c r="A31" s="46" t="s">
        <v>289</v>
      </c>
      <c r="B31" s="46"/>
      <c r="C31" s="46"/>
      <c r="D31" s="46"/>
      <c r="E31" s="46"/>
      <c r="F31" s="46"/>
      <c r="G31" s="46"/>
      <c r="H31" s="46"/>
      <c r="I31" s="46"/>
      <c r="J31" s="46"/>
    </row>
    <row r="32" customFormat="false" ht="21.75" hidden="false" customHeight="true" outlineLevel="0" collapsed="false">
      <c r="A32" s="47" t="s">
        <v>290</v>
      </c>
      <c r="B32" s="48" t="s">
        <v>291</v>
      </c>
      <c r="C32" s="48"/>
      <c r="D32" s="48"/>
      <c r="E32" s="48"/>
      <c r="F32" s="48"/>
      <c r="G32" s="48"/>
      <c r="H32" s="48"/>
      <c r="I32" s="48"/>
      <c r="J32" s="48"/>
    </row>
    <row r="33" customFormat="false" ht="21.75" hidden="false" customHeight="true" outlineLevel="0" collapsed="false">
      <c r="A33" s="47" t="s">
        <v>292</v>
      </c>
      <c r="B33" s="48" t="s">
        <v>293</v>
      </c>
      <c r="C33" s="48"/>
      <c r="D33" s="48"/>
      <c r="E33" s="48"/>
      <c r="F33" s="48"/>
      <c r="G33" s="48"/>
      <c r="H33" s="48"/>
      <c r="I33" s="48"/>
      <c r="J33" s="48"/>
    </row>
    <row r="34" customFormat="false" ht="21.75" hidden="false" customHeight="true" outlineLevel="0" collapsed="false">
      <c r="A34" s="47" t="s">
        <v>294</v>
      </c>
      <c r="B34" s="48" t="s">
        <v>295</v>
      </c>
      <c r="C34" s="48"/>
      <c r="D34" s="48"/>
      <c r="E34" s="48"/>
      <c r="F34" s="48"/>
      <c r="G34" s="48"/>
      <c r="H34" s="48"/>
      <c r="I34" s="48"/>
      <c r="J34" s="48"/>
    </row>
    <row r="35" customFormat="false" ht="21.75" hidden="false" customHeight="true" outlineLevel="0" collapsed="false">
      <c r="A35" s="47" t="s">
        <v>296</v>
      </c>
      <c r="B35" s="48" t="s">
        <v>297</v>
      </c>
      <c r="C35" s="48"/>
      <c r="D35" s="48"/>
      <c r="E35" s="48"/>
      <c r="F35" s="48"/>
      <c r="G35" s="48"/>
      <c r="H35" s="48"/>
      <c r="I35" s="48"/>
      <c r="J35" s="48"/>
    </row>
    <row r="36" customFormat="false" ht="21.75" hidden="false" customHeight="true" outlineLevel="0" collapsed="false">
      <c r="A36" s="47" t="s">
        <v>298</v>
      </c>
      <c r="B36" s="48" t="s">
        <v>299</v>
      </c>
      <c r="C36" s="48"/>
      <c r="D36" s="48"/>
      <c r="E36" s="48"/>
      <c r="F36" s="48"/>
      <c r="G36" s="48"/>
      <c r="H36" s="48"/>
      <c r="I36" s="48"/>
      <c r="J36" s="48"/>
    </row>
    <row r="37" customFormat="false" ht="21.75" hidden="false" customHeight="true" outlineLevel="0" collapsed="false">
      <c r="A37" s="47" t="s">
        <v>300</v>
      </c>
      <c r="B37" s="48" t="s">
        <v>301</v>
      </c>
      <c r="C37" s="48"/>
      <c r="D37" s="48"/>
      <c r="E37" s="48"/>
      <c r="F37" s="48"/>
      <c r="G37" s="48"/>
      <c r="H37" s="48"/>
      <c r="I37" s="48"/>
      <c r="J37" s="48"/>
    </row>
    <row r="39" customFormat="false" ht="24.75" hidden="false" customHeight="true" outlineLevel="0" collapsed="false">
      <c r="A39" s="49" t="s">
        <v>302</v>
      </c>
      <c r="B39" s="49"/>
      <c r="C39" s="49"/>
      <c r="D39" s="49"/>
      <c r="E39" s="49"/>
      <c r="F39" s="49"/>
      <c r="G39" s="49"/>
      <c r="H39" s="49"/>
      <c r="I39" s="49"/>
      <c r="J39" s="49"/>
    </row>
  </sheetData>
  <mergeCells count="34">
    <mergeCell ref="A1:J1"/>
    <mergeCell ref="A2:J2"/>
    <mergeCell ref="A4:B4"/>
    <mergeCell ref="C4:J4"/>
    <mergeCell ref="A5:B5"/>
    <mergeCell ref="C5:J5"/>
    <mergeCell ref="A6:B6"/>
    <mergeCell ref="C6:J6"/>
    <mergeCell ref="A7:B7"/>
    <mergeCell ref="C7:J7"/>
    <mergeCell ref="A8:B8"/>
    <mergeCell ref="C8:J8"/>
    <mergeCell ref="A9:B9"/>
    <mergeCell ref="C9:J9"/>
    <mergeCell ref="A11:J11"/>
    <mergeCell ref="A19:J19"/>
    <mergeCell ref="A25:J25"/>
    <mergeCell ref="A26:A29"/>
    <mergeCell ref="C26:F26"/>
    <mergeCell ref="G26:I26"/>
    <mergeCell ref="C27:F27"/>
    <mergeCell ref="G27:I27"/>
    <mergeCell ref="C28:F28"/>
    <mergeCell ref="G28:I28"/>
    <mergeCell ref="C29:F29"/>
    <mergeCell ref="G29:I29"/>
    <mergeCell ref="A31:J31"/>
    <mergeCell ref="B32:J32"/>
    <mergeCell ref="B33:J33"/>
    <mergeCell ref="B34:J34"/>
    <mergeCell ref="B35:J35"/>
    <mergeCell ref="B36:J36"/>
    <mergeCell ref="B37:J37"/>
    <mergeCell ref="A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2026-03-02T05:20:26Z</dcterms:created>
  <dc:creator>openpyxl</dc:creator>
  <dc:description/>
  <dc:language>en-US</dc:language>
  <cp:lastModifiedBy/>
  <dcterms:modified xsi:type="dcterms:W3CDTF">2026-03-02T05:21:18Z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